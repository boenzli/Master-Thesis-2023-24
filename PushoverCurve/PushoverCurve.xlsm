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9ba3f78e489e6908/Dokumente/EPFL/12_Master_Thesis/11_PushoverCurve/"/>
    </mc:Choice>
  </mc:AlternateContent>
  <xr:revisionPtr revIDLastSave="219" documentId="13_ncr:1_{3C3B5921-F665-47FF-ABF7-9B43F7BFA383}" xr6:coauthVersionLast="47" xr6:coauthVersionMax="47" xr10:uidLastSave="{EC251312-6D8F-42F7-9AA9-FBA900AC6165}"/>
  <bookViews>
    <workbookView xWindow="28680" yWindow="-120" windowWidth="38640" windowHeight="21240" tabRatio="795" activeTab="6" xr2:uid="{DE0018EB-46AF-4741-97C6-6F146F60B566}"/>
  </bookViews>
  <sheets>
    <sheet name="Material properties" sheetId="12" r:id="rId1"/>
    <sheet name="Pier geometry_1" sheetId="29" r:id="rId2"/>
    <sheet name="Pier geometry_2" sheetId="31" r:id="rId3"/>
    <sheet name="Normal loads_1" sheetId="38" r:id="rId4"/>
    <sheet name="Normal loads_2" sheetId="39" r:id="rId5"/>
    <sheet name="Max_shearforce_1" sheetId="32" r:id="rId6"/>
    <sheet name="Max_shearforce_2" sheetId="40" r:id="rId7"/>
    <sheet name="Pushover Curve_1" sheetId="41" r:id="rId8"/>
    <sheet name="Pushover Curve_2" sheetId="45" r:id="rId9"/>
    <sheet name="L_Floor" sheetId="35" r:id="rId10"/>
    <sheet name="L_Roof" sheetId="36" r:id="rId11"/>
    <sheet name="L_Filling material" sheetId="37" r:id="rId12"/>
  </sheets>
  <definedNames>
    <definedName name="_xlnm.Print_Area" localSheetId="0">'Material properties'!$A$1:$J$26</definedName>
    <definedName name="_xlnm.Print_Area" localSheetId="5">Max_shearforce_1!$A$1:$R$33</definedName>
    <definedName name="_xlnm.Print_Area" localSheetId="6">Max_shearforce_2!$A$1:$R$34</definedName>
    <definedName name="_xlnm.Print_Area" localSheetId="3">'Normal loads_1'!$A$1:$J$50</definedName>
    <definedName name="_xlnm.Print_Area" localSheetId="4">'Normal loads_2'!$A$1:$J$49</definedName>
    <definedName name="_xlnm.Print_Area" localSheetId="1">'Pier geometry_1'!$A$1:$I$49</definedName>
    <definedName name="_xlnm.Print_Area" localSheetId="2">'Pier geometry_2'!$A$1:$I$48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2" i="40" l="1"/>
  <c r="N33" i="40"/>
  <c r="N13" i="40"/>
  <c r="N14" i="40"/>
  <c r="N18" i="40"/>
  <c r="N19" i="40"/>
  <c r="N23" i="40"/>
  <c r="N24" i="40"/>
  <c r="N29" i="40"/>
  <c r="N30" i="40"/>
  <c r="N16" i="32"/>
  <c r="N17" i="32"/>
  <c r="N23" i="32"/>
  <c r="N24" i="32"/>
  <c r="N29" i="32"/>
  <c r="N30" i="32"/>
  <c r="Q38" i="41"/>
  <c r="Q37" i="41"/>
  <c r="Q39" i="45"/>
  <c r="D34" i="40"/>
  <c r="D33" i="45"/>
  <c r="E33" i="45"/>
  <c r="F33" i="45" s="1"/>
  <c r="G33" i="45" s="1"/>
  <c r="H33" i="45" s="1"/>
  <c r="D34" i="45"/>
  <c r="E34" i="45"/>
  <c r="D11" i="45"/>
  <c r="E11" i="45"/>
  <c r="D12" i="45"/>
  <c r="E12" i="45"/>
  <c r="D13" i="45"/>
  <c r="E13" i="45"/>
  <c r="F13" i="45" s="1"/>
  <c r="G13" i="45" s="1"/>
  <c r="H13" i="45" s="1"/>
  <c r="D14" i="45"/>
  <c r="E14" i="45"/>
  <c r="F14" i="45" s="1"/>
  <c r="G14" i="45" s="1"/>
  <c r="H14" i="45" s="1"/>
  <c r="D15" i="45"/>
  <c r="E15" i="45"/>
  <c r="D16" i="45"/>
  <c r="E16" i="45"/>
  <c r="D17" i="45"/>
  <c r="E17" i="45"/>
  <c r="D18" i="45"/>
  <c r="E18" i="45"/>
  <c r="F18" i="45" s="1"/>
  <c r="G18" i="45" s="1"/>
  <c r="H18" i="45" s="1"/>
  <c r="D19" i="45"/>
  <c r="E19" i="45"/>
  <c r="F19" i="45" s="1"/>
  <c r="G19" i="45" s="1"/>
  <c r="H19" i="45" s="1"/>
  <c r="D20" i="45"/>
  <c r="E20" i="45"/>
  <c r="D21" i="45"/>
  <c r="E21" i="45"/>
  <c r="D22" i="45"/>
  <c r="E22" i="45"/>
  <c r="D23" i="45"/>
  <c r="E23" i="45"/>
  <c r="F23" i="45" s="1"/>
  <c r="G23" i="45" s="1"/>
  <c r="H23" i="45" s="1"/>
  <c r="D24" i="45"/>
  <c r="E24" i="45"/>
  <c r="F24" i="45" s="1"/>
  <c r="G24" i="45" s="1"/>
  <c r="H24" i="45" s="1"/>
  <c r="D25" i="45"/>
  <c r="E25" i="45"/>
  <c r="D26" i="45"/>
  <c r="E26" i="45"/>
  <c r="D27" i="45"/>
  <c r="E27" i="45"/>
  <c r="D28" i="45"/>
  <c r="E28" i="45"/>
  <c r="D29" i="45"/>
  <c r="E29" i="45"/>
  <c r="F29" i="45" s="1"/>
  <c r="G29" i="45" s="1"/>
  <c r="H29" i="45" s="1"/>
  <c r="D30" i="45"/>
  <c r="E30" i="45"/>
  <c r="F30" i="45" s="1"/>
  <c r="G30" i="45" s="1"/>
  <c r="H30" i="45" s="1"/>
  <c r="D31" i="45"/>
  <c r="E31" i="45"/>
  <c r="D32" i="45"/>
  <c r="E32" i="45"/>
  <c r="F32" i="45" s="1"/>
  <c r="G32" i="45" s="1"/>
  <c r="H32" i="45" s="1"/>
  <c r="E10" i="45"/>
  <c r="D10" i="45"/>
  <c r="Q40" i="45"/>
  <c r="O4" i="45"/>
  <c r="B4" i="45"/>
  <c r="D11" i="32"/>
  <c r="D12" i="32"/>
  <c r="D13" i="32"/>
  <c r="D14" i="32"/>
  <c r="D15" i="32"/>
  <c r="D16" i="32"/>
  <c r="E16" i="32" s="1"/>
  <c r="F16" i="32" s="1"/>
  <c r="G16" i="32" s="1"/>
  <c r="D17" i="32"/>
  <c r="E17" i="32" s="1"/>
  <c r="F17" i="32" s="1"/>
  <c r="G17" i="32" s="1"/>
  <c r="D18" i="32"/>
  <c r="D19" i="32"/>
  <c r="D20" i="32"/>
  <c r="D21" i="32"/>
  <c r="D22" i="32"/>
  <c r="D23" i="32"/>
  <c r="J23" i="32" s="1"/>
  <c r="K23" i="32" s="1"/>
  <c r="D24" i="32"/>
  <c r="J24" i="32" s="1"/>
  <c r="K24" i="32" s="1"/>
  <c r="D25" i="32"/>
  <c r="D26" i="32"/>
  <c r="D27" i="32"/>
  <c r="D28" i="32"/>
  <c r="D29" i="32"/>
  <c r="D30" i="32"/>
  <c r="E30" i="32" s="1"/>
  <c r="F30" i="32" s="1"/>
  <c r="G30" i="32" s="1"/>
  <c r="I30" i="32" s="1"/>
  <c r="D31" i="32"/>
  <c r="D32" i="32"/>
  <c r="D10" i="32"/>
  <c r="J17" i="32"/>
  <c r="K17" i="32" s="1"/>
  <c r="J29" i="32"/>
  <c r="K29" i="32" s="1"/>
  <c r="M29" i="32" s="1"/>
  <c r="E11" i="41"/>
  <c r="E12" i="41"/>
  <c r="E13" i="41"/>
  <c r="E14" i="41"/>
  <c r="E15" i="41"/>
  <c r="E16" i="41"/>
  <c r="F16" i="41" s="1"/>
  <c r="G16" i="41" s="1"/>
  <c r="H16" i="41" s="1"/>
  <c r="J16" i="41" s="1"/>
  <c r="E17" i="41"/>
  <c r="F17" i="41" s="1"/>
  <c r="G17" i="41" s="1"/>
  <c r="H17" i="41" s="1"/>
  <c r="J17" i="41" s="1"/>
  <c r="E18" i="41"/>
  <c r="E19" i="41"/>
  <c r="E20" i="41"/>
  <c r="E21" i="41"/>
  <c r="E22" i="41"/>
  <c r="E23" i="41"/>
  <c r="F23" i="41" s="1"/>
  <c r="G23" i="41" s="1"/>
  <c r="H23" i="41" s="1"/>
  <c r="J23" i="41" s="1"/>
  <c r="E24" i="41"/>
  <c r="F24" i="41" s="1"/>
  <c r="G24" i="41" s="1"/>
  <c r="H24" i="41" s="1"/>
  <c r="J24" i="41" s="1"/>
  <c r="E25" i="41"/>
  <c r="E26" i="41"/>
  <c r="E27" i="41"/>
  <c r="E28" i="41"/>
  <c r="E29" i="41"/>
  <c r="F29" i="41" s="1"/>
  <c r="G29" i="41" s="1"/>
  <c r="H29" i="41" s="1"/>
  <c r="J29" i="41" s="1"/>
  <c r="E30" i="41"/>
  <c r="F30" i="41" s="1"/>
  <c r="G30" i="41" s="1"/>
  <c r="H30" i="41" s="1"/>
  <c r="J30" i="41" s="1"/>
  <c r="E31" i="41"/>
  <c r="E32" i="41"/>
  <c r="E10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11" i="40"/>
  <c r="D12" i="40"/>
  <c r="D13" i="40"/>
  <c r="J13" i="40" s="1"/>
  <c r="K13" i="40" s="1"/>
  <c r="D14" i="40"/>
  <c r="J14" i="40" s="1"/>
  <c r="K14" i="40" s="1"/>
  <c r="D15" i="40"/>
  <c r="D16" i="40"/>
  <c r="D17" i="40"/>
  <c r="D18" i="40"/>
  <c r="J18" i="40" s="1"/>
  <c r="K18" i="40" s="1"/>
  <c r="E18" i="40"/>
  <c r="F18" i="40" s="1"/>
  <c r="G18" i="40" s="1"/>
  <c r="D19" i="40"/>
  <c r="E19" i="40" s="1"/>
  <c r="F19" i="40" s="1"/>
  <c r="G19" i="40" s="1"/>
  <c r="D20" i="40"/>
  <c r="D21" i="40"/>
  <c r="D22" i="40"/>
  <c r="D23" i="40"/>
  <c r="E23" i="40" s="1"/>
  <c r="F23" i="40" s="1"/>
  <c r="G23" i="40" s="1"/>
  <c r="D24" i="40"/>
  <c r="D25" i="40"/>
  <c r="D26" i="40"/>
  <c r="D27" i="40"/>
  <c r="D28" i="40"/>
  <c r="D29" i="40"/>
  <c r="J29" i="40" s="1"/>
  <c r="K29" i="40" s="1"/>
  <c r="L29" i="40" s="1"/>
  <c r="D30" i="40"/>
  <c r="J30" i="40" s="1"/>
  <c r="K30" i="40" s="1"/>
  <c r="E30" i="40"/>
  <c r="F30" i="40" s="1"/>
  <c r="G30" i="40" s="1"/>
  <c r="D31" i="40"/>
  <c r="D10" i="40"/>
  <c r="J16" i="32"/>
  <c r="K16" i="32" s="1"/>
  <c r="E29" i="32"/>
  <c r="F29" i="32" s="1"/>
  <c r="G29" i="32" s="1"/>
  <c r="E14" i="40" l="1"/>
  <c r="F14" i="40" s="1"/>
  <c r="G14" i="40" s="1"/>
  <c r="E29" i="40"/>
  <c r="F29" i="40" s="1"/>
  <c r="G29" i="40" s="1"/>
  <c r="E23" i="32"/>
  <c r="F23" i="32" s="1"/>
  <c r="G23" i="32" s="1"/>
  <c r="E13" i="40"/>
  <c r="F13" i="40" s="1"/>
  <c r="G13" i="40" s="1"/>
  <c r="I13" i="40" s="1"/>
  <c r="E24" i="32"/>
  <c r="F24" i="32" s="1"/>
  <c r="G24" i="32" s="1"/>
  <c r="H24" i="32" s="1"/>
  <c r="J33" i="45"/>
  <c r="I33" i="45"/>
  <c r="J32" i="45"/>
  <c r="I32" i="45"/>
  <c r="J30" i="45"/>
  <c r="I30" i="45"/>
  <c r="J24" i="45"/>
  <c r="I24" i="45"/>
  <c r="J18" i="45"/>
  <c r="I18" i="45"/>
  <c r="J14" i="45"/>
  <c r="I14" i="45"/>
  <c r="I29" i="45"/>
  <c r="J29" i="45"/>
  <c r="I23" i="45"/>
  <c r="J23" i="45"/>
  <c r="I19" i="45"/>
  <c r="J19" i="45"/>
  <c r="I13" i="45"/>
  <c r="J13" i="45"/>
  <c r="L24" i="41"/>
  <c r="M24" i="41" s="1"/>
  <c r="P24" i="41" s="1"/>
  <c r="L23" i="41"/>
  <c r="M23" i="41" s="1"/>
  <c r="P23" i="41" s="1"/>
  <c r="L16" i="41"/>
  <c r="M16" i="41" s="1"/>
  <c r="P16" i="41" s="1"/>
  <c r="L30" i="41"/>
  <c r="M30" i="41" s="1"/>
  <c r="P30" i="41" s="1"/>
  <c r="L29" i="41"/>
  <c r="M29" i="41" s="1"/>
  <c r="P29" i="41" s="1"/>
  <c r="L17" i="41"/>
  <c r="M17" i="41" s="1"/>
  <c r="P17" i="41" s="1"/>
  <c r="Y24" i="41"/>
  <c r="X29" i="41"/>
  <c r="I29" i="32"/>
  <c r="H29" i="32"/>
  <c r="J30" i="32"/>
  <c r="K30" i="32" s="1"/>
  <c r="M30" i="32" s="1"/>
  <c r="O30" i="32" s="1"/>
  <c r="P30" i="32" s="1"/>
  <c r="I16" i="41"/>
  <c r="K24" i="41"/>
  <c r="I24" i="41"/>
  <c r="K30" i="41"/>
  <c r="K23" i="41"/>
  <c r="I30" i="41"/>
  <c r="I23" i="41"/>
  <c r="K29" i="41"/>
  <c r="K17" i="41"/>
  <c r="I29" i="41"/>
  <c r="I17" i="41"/>
  <c r="K16" i="41"/>
  <c r="I16" i="32"/>
  <c r="H16" i="32"/>
  <c r="L17" i="32"/>
  <c r="M17" i="32"/>
  <c r="I17" i="32"/>
  <c r="H17" i="32"/>
  <c r="M16" i="32"/>
  <c r="L16" i="32"/>
  <c r="M24" i="32"/>
  <c r="L24" i="32"/>
  <c r="M23" i="32"/>
  <c r="L23" i="32"/>
  <c r="I23" i="32"/>
  <c r="H23" i="32"/>
  <c r="O29" i="32"/>
  <c r="P29" i="32" s="1"/>
  <c r="H30" i="32"/>
  <c r="L29" i="32"/>
  <c r="H23" i="40"/>
  <c r="I23" i="40"/>
  <c r="L18" i="40"/>
  <c r="M18" i="40"/>
  <c r="H14" i="40"/>
  <c r="I14" i="40"/>
  <c r="H30" i="40"/>
  <c r="I30" i="40"/>
  <c r="M29" i="40"/>
  <c r="H18" i="40"/>
  <c r="I18" i="40"/>
  <c r="E24" i="40"/>
  <c r="F24" i="40" s="1"/>
  <c r="G24" i="40" s="1"/>
  <c r="J24" i="40"/>
  <c r="K24" i="40" s="1"/>
  <c r="L30" i="40"/>
  <c r="M30" i="40"/>
  <c r="H19" i="40"/>
  <c r="I19" i="40"/>
  <c r="L14" i="40"/>
  <c r="M14" i="40"/>
  <c r="L13" i="40"/>
  <c r="M13" i="40"/>
  <c r="J23" i="40"/>
  <c r="K23" i="40" s="1"/>
  <c r="J19" i="40"/>
  <c r="K19" i="40" s="1"/>
  <c r="O4" i="41"/>
  <c r="E12" i="12"/>
  <c r="E11" i="12"/>
  <c r="H11" i="12" s="1"/>
  <c r="H12" i="12"/>
  <c r="H10" i="12"/>
  <c r="H13" i="12"/>
  <c r="H14" i="12"/>
  <c r="H15" i="12"/>
  <c r="H16" i="12"/>
  <c r="H17" i="12"/>
  <c r="H18" i="12"/>
  <c r="H19" i="12"/>
  <c r="H9" i="12"/>
  <c r="D4" i="41"/>
  <c r="B4" i="40"/>
  <c r="B4" i="32"/>
  <c r="B4" i="39"/>
  <c r="I10" i="39" s="1"/>
  <c r="B4" i="38"/>
  <c r="B4" i="31"/>
  <c r="B4" i="29"/>
  <c r="G9" i="39"/>
  <c r="F9" i="39"/>
  <c r="E9" i="39"/>
  <c r="E10" i="39"/>
  <c r="F10" i="39"/>
  <c r="G10" i="39"/>
  <c r="E11" i="39"/>
  <c r="F11" i="39"/>
  <c r="G11" i="39"/>
  <c r="E12" i="39"/>
  <c r="F12" i="39"/>
  <c r="G12" i="39"/>
  <c r="E13" i="39"/>
  <c r="F13" i="39"/>
  <c r="G13" i="39"/>
  <c r="E14" i="39"/>
  <c r="F14" i="39"/>
  <c r="G14" i="39"/>
  <c r="E17" i="39"/>
  <c r="F17" i="39"/>
  <c r="G17" i="39"/>
  <c r="E18" i="39"/>
  <c r="F18" i="39"/>
  <c r="G18" i="39"/>
  <c r="E19" i="39"/>
  <c r="F19" i="39"/>
  <c r="G19" i="39"/>
  <c r="E20" i="39"/>
  <c r="F20" i="39"/>
  <c r="G20" i="39"/>
  <c r="E21" i="39"/>
  <c r="F21" i="39"/>
  <c r="G21" i="39"/>
  <c r="E22" i="39"/>
  <c r="F22" i="39"/>
  <c r="G22" i="39"/>
  <c r="E25" i="39"/>
  <c r="F25" i="39"/>
  <c r="G25" i="39"/>
  <c r="E26" i="39"/>
  <c r="F26" i="39"/>
  <c r="G26" i="39"/>
  <c r="E27" i="39"/>
  <c r="F27" i="39"/>
  <c r="G27" i="39"/>
  <c r="E28" i="39"/>
  <c r="F28" i="39"/>
  <c r="G28" i="39"/>
  <c r="E29" i="39"/>
  <c r="F29" i="39"/>
  <c r="G29" i="39"/>
  <c r="E30" i="39"/>
  <c r="F30" i="39"/>
  <c r="G30" i="39"/>
  <c r="E33" i="39"/>
  <c r="F33" i="39"/>
  <c r="G33" i="39"/>
  <c r="E34" i="39"/>
  <c r="F34" i="39"/>
  <c r="G34" i="39"/>
  <c r="E35" i="39"/>
  <c r="F35" i="39"/>
  <c r="G35" i="39"/>
  <c r="E36" i="39"/>
  <c r="F36" i="39"/>
  <c r="G36" i="39"/>
  <c r="E37" i="39"/>
  <c r="F37" i="39"/>
  <c r="G37" i="39"/>
  <c r="E38" i="39"/>
  <c r="F38" i="39"/>
  <c r="G38" i="39"/>
  <c r="E39" i="39"/>
  <c r="F39" i="39"/>
  <c r="G39" i="39"/>
  <c r="E40" i="39"/>
  <c r="F40" i="39"/>
  <c r="G40" i="39"/>
  <c r="E43" i="39"/>
  <c r="F43" i="39"/>
  <c r="G43" i="39"/>
  <c r="E44" i="39"/>
  <c r="F44" i="39"/>
  <c r="G44" i="39"/>
  <c r="E47" i="39"/>
  <c r="F47" i="39"/>
  <c r="G47" i="39"/>
  <c r="E48" i="39"/>
  <c r="F48" i="39"/>
  <c r="G48" i="39"/>
  <c r="B10" i="38"/>
  <c r="C10" i="38"/>
  <c r="G10" i="38" s="1"/>
  <c r="B11" i="38"/>
  <c r="C11" i="38"/>
  <c r="B12" i="38"/>
  <c r="C12" i="38"/>
  <c r="B13" i="38"/>
  <c r="C13" i="38"/>
  <c r="G13" i="38" s="1"/>
  <c r="B14" i="38"/>
  <c r="C14" i="38"/>
  <c r="G14" i="38" s="1"/>
  <c r="B15" i="38"/>
  <c r="C15" i="38"/>
  <c r="F15" i="38" s="1"/>
  <c r="B16" i="38"/>
  <c r="C16" i="38"/>
  <c r="B17" i="38"/>
  <c r="C17" i="38"/>
  <c r="G17" i="38" s="1"/>
  <c r="B18" i="38"/>
  <c r="C18" i="38"/>
  <c r="G18" i="38" s="1"/>
  <c r="B19" i="38"/>
  <c r="C19" i="38"/>
  <c r="F19" i="38" s="1"/>
  <c r="B22" i="38"/>
  <c r="C22" i="38"/>
  <c r="B23" i="38"/>
  <c r="C23" i="38"/>
  <c r="F23" i="38" s="1"/>
  <c r="B24" i="38"/>
  <c r="C24" i="38"/>
  <c r="B25" i="38"/>
  <c r="C25" i="38"/>
  <c r="B26" i="38"/>
  <c r="C26" i="38"/>
  <c r="B27" i="38"/>
  <c r="C27" i="38"/>
  <c r="F27" i="38" s="1"/>
  <c r="B28" i="38"/>
  <c r="C28" i="38"/>
  <c r="B29" i="38"/>
  <c r="C29" i="38"/>
  <c r="G29" i="38" s="1"/>
  <c r="B30" i="38"/>
  <c r="C30" i="38"/>
  <c r="F30" i="38" s="1"/>
  <c r="B31" i="38"/>
  <c r="C31" i="38"/>
  <c r="F31" i="38" s="1"/>
  <c r="B34" i="38"/>
  <c r="C34" i="38"/>
  <c r="B35" i="38"/>
  <c r="C35" i="38"/>
  <c r="B36" i="38"/>
  <c r="C36" i="38"/>
  <c r="B37" i="38"/>
  <c r="C37" i="38"/>
  <c r="B38" i="38"/>
  <c r="C38" i="38"/>
  <c r="G38" i="38" s="1"/>
  <c r="B39" i="38"/>
  <c r="C39" i="38"/>
  <c r="B40" i="38"/>
  <c r="C40" i="38"/>
  <c r="B41" i="38"/>
  <c r="C41" i="38"/>
  <c r="B42" i="38"/>
  <c r="C42" i="38"/>
  <c r="B43" i="38"/>
  <c r="C43" i="38"/>
  <c r="B46" i="38"/>
  <c r="C46" i="38"/>
  <c r="F46" i="38" s="1"/>
  <c r="B47" i="38"/>
  <c r="C47" i="38"/>
  <c r="B48" i="38"/>
  <c r="C48" i="38"/>
  <c r="E48" i="38" s="1"/>
  <c r="B49" i="38"/>
  <c r="C49" i="38"/>
  <c r="G49" i="38" s="1"/>
  <c r="C9" i="38"/>
  <c r="E9" i="38" s="1"/>
  <c r="B9" i="38"/>
  <c r="W24" i="41" l="1"/>
  <c r="I24" i="32"/>
  <c r="H13" i="40"/>
  <c r="H29" i="40"/>
  <c r="I29" i="40"/>
  <c r="AA24" i="41"/>
  <c r="Y29" i="41"/>
  <c r="X24" i="41"/>
  <c r="Z24" i="41"/>
  <c r="Q24" i="41"/>
  <c r="V24" i="41"/>
  <c r="R24" i="41"/>
  <c r="AB24" i="41"/>
  <c r="S24" i="41"/>
  <c r="U24" i="41"/>
  <c r="X23" i="41"/>
  <c r="Q23" i="41"/>
  <c r="AB23" i="41"/>
  <c r="R23" i="41"/>
  <c r="Y23" i="41"/>
  <c r="Z23" i="41"/>
  <c r="U23" i="41"/>
  <c r="AA23" i="41"/>
  <c r="V23" i="41"/>
  <c r="W16" i="41"/>
  <c r="Y16" i="41"/>
  <c r="L33" i="45"/>
  <c r="M33" i="45" s="1"/>
  <c r="K33" i="45"/>
  <c r="L23" i="45"/>
  <c r="M23" i="45" s="1"/>
  <c r="K23" i="45"/>
  <c r="L29" i="45"/>
  <c r="M29" i="45" s="1"/>
  <c r="K29" i="45"/>
  <c r="K18" i="45"/>
  <c r="L18" i="45"/>
  <c r="M18" i="45" s="1"/>
  <c r="K24" i="45"/>
  <c r="L24" i="45"/>
  <c r="M24" i="45" s="1"/>
  <c r="K30" i="45"/>
  <c r="L30" i="45"/>
  <c r="M30" i="45" s="1"/>
  <c r="L13" i="45"/>
  <c r="M13" i="45" s="1"/>
  <c r="K13" i="45"/>
  <c r="L19" i="45"/>
  <c r="M19" i="45" s="1"/>
  <c r="K19" i="45"/>
  <c r="K14" i="45"/>
  <c r="L14" i="45"/>
  <c r="M14" i="45" s="1"/>
  <c r="K32" i="45"/>
  <c r="L32" i="45"/>
  <c r="M32" i="45" s="1"/>
  <c r="Q30" i="41"/>
  <c r="Z16" i="41"/>
  <c r="R30" i="41"/>
  <c r="S16" i="41"/>
  <c r="O24" i="41"/>
  <c r="O23" i="41"/>
  <c r="W23" i="41"/>
  <c r="T24" i="41"/>
  <c r="X16" i="41"/>
  <c r="AB30" i="41"/>
  <c r="AA16" i="41"/>
  <c r="Q16" i="41"/>
  <c r="R16" i="41"/>
  <c r="W30" i="41"/>
  <c r="T16" i="41"/>
  <c r="X30" i="41"/>
  <c r="U30" i="41"/>
  <c r="O30" i="41"/>
  <c r="V30" i="41"/>
  <c r="T30" i="41"/>
  <c r="AB16" i="41"/>
  <c r="O16" i="41"/>
  <c r="U16" i="41"/>
  <c r="V16" i="41"/>
  <c r="AB29" i="41"/>
  <c r="O29" i="41"/>
  <c r="Q29" i="41"/>
  <c r="Y30" i="41"/>
  <c r="W29" i="41"/>
  <c r="V29" i="41"/>
  <c r="R29" i="41"/>
  <c r="Z30" i="41"/>
  <c r="AA30" i="41"/>
  <c r="S30" i="41"/>
  <c r="AA29" i="41"/>
  <c r="T29" i="41"/>
  <c r="U29" i="41"/>
  <c r="S29" i="41"/>
  <c r="Z29" i="41"/>
  <c r="S23" i="41"/>
  <c r="T23" i="41"/>
  <c r="R17" i="41"/>
  <c r="AB17" i="41"/>
  <c r="Q17" i="41"/>
  <c r="S17" i="41"/>
  <c r="W17" i="41"/>
  <c r="U17" i="41"/>
  <c r="AA17" i="41"/>
  <c r="Z17" i="41"/>
  <c r="X17" i="41"/>
  <c r="Y17" i="41"/>
  <c r="O17" i="41"/>
  <c r="V17" i="41"/>
  <c r="T17" i="41"/>
  <c r="L30" i="32"/>
  <c r="O17" i="32"/>
  <c r="P17" i="32" s="1"/>
  <c r="O16" i="32"/>
  <c r="P16" i="32" s="1"/>
  <c r="O23" i="32"/>
  <c r="P23" i="32" s="1"/>
  <c r="O24" i="32"/>
  <c r="P24" i="32" s="1"/>
  <c r="Q30" i="32"/>
  <c r="R30" i="32"/>
  <c r="R29" i="32"/>
  <c r="Q29" i="32"/>
  <c r="O14" i="40"/>
  <c r="P14" i="40" s="1"/>
  <c r="O18" i="40"/>
  <c r="P18" i="40" s="1"/>
  <c r="O29" i="40"/>
  <c r="P29" i="40" s="1"/>
  <c r="L19" i="40"/>
  <c r="M19" i="40"/>
  <c r="O13" i="40"/>
  <c r="P13" i="40" s="1"/>
  <c r="O30" i="40"/>
  <c r="P30" i="40" s="1"/>
  <c r="M24" i="40"/>
  <c r="L24" i="40"/>
  <c r="L23" i="40"/>
  <c r="M23" i="40"/>
  <c r="I24" i="40"/>
  <c r="H24" i="40"/>
  <c r="I36" i="39"/>
  <c r="I34" i="39"/>
  <c r="I43" i="39"/>
  <c r="I35" i="39"/>
  <c r="I33" i="39"/>
  <c r="I47" i="39"/>
  <c r="I27" i="39"/>
  <c r="I26" i="39"/>
  <c r="I25" i="39"/>
  <c r="I19" i="39"/>
  <c r="I18" i="39"/>
  <c r="I17" i="39"/>
  <c r="I9" i="39"/>
  <c r="I11" i="39"/>
  <c r="E35" i="38"/>
  <c r="I12" i="38"/>
  <c r="I24" i="38"/>
  <c r="F47" i="38"/>
  <c r="I47" i="38"/>
  <c r="G43" i="38"/>
  <c r="E40" i="38"/>
  <c r="G39" i="38"/>
  <c r="F37" i="38"/>
  <c r="I37" i="38"/>
  <c r="F11" i="38"/>
  <c r="I11" i="38"/>
  <c r="E24" i="38"/>
  <c r="G12" i="38"/>
  <c r="I46" i="38"/>
  <c r="I38" i="38"/>
  <c r="F40" i="38"/>
  <c r="G40" i="38"/>
  <c r="F42" i="38"/>
  <c r="G42" i="38"/>
  <c r="F38" i="38"/>
  <c r="E38" i="38"/>
  <c r="G35" i="38"/>
  <c r="F35" i="38"/>
  <c r="F34" i="38"/>
  <c r="E34" i="38"/>
  <c r="G34" i="38"/>
  <c r="G25" i="38"/>
  <c r="I25" i="38"/>
  <c r="F48" i="38"/>
  <c r="G48" i="38"/>
  <c r="F28" i="38"/>
  <c r="G28" i="38"/>
  <c r="F26" i="38"/>
  <c r="I26" i="38"/>
  <c r="F24" i="38"/>
  <c r="G24" i="38"/>
  <c r="F22" i="38"/>
  <c r="I22" i="38"/>
  <c r="F16" i="38"/>
  <c r="E16" i="38"/>
  <c r="F12" i="38"/>
  <c r="E12" i="38"/>
  <c r="E42" i="38"/>
  <c r="I23" i="38"/>
  <c r="I34" i="38"/>
  <c r="I9" i="38"/>
  <c r="E28" i="38"/>
  <c r="G16" i="38"/>
  <c r="I13" i="38"/>
  <c r="I35" i="38"/>
  <c r="I10" i="38"/>
  <c r="E19" i="38"/>
  <c r="E15" i="38"/>
  <c r="E11" i="38"/>
  <c r="E47" i="38"/>
  <c r="E37" i="38"/>
  <c r="E31" i="38"/>
  <c r="E27" i="38"/>
  <c r="E23" i="38"/>
  <c r="F18" i="38"/>
  <c r="F14" i="38"/>
  <c r="F10" i="38"/>
  <c r="G47" i="38"/>
  <c r="G37" i="38"/>
  <c r="G31" i="38"/>
  <c r="G27" i="38"/>
  <c r="G23" i="38"/>
  <c r="G19" i="38"/>
  <c r="G15" i="38"/>
  <c r="G11" i="38"/>
  <c r="F49" i="38"/>
  <c r="F43" i="38"/>
  <c r="F39" i="38"/>
  <c r="F29" i="38"/>
  <c r="F25" i="38"/>
  <c r="E18" i="38"/>
  <c r="E14" i="38"/>
  <c r="E10" i="38"/>
  <c r="E46" i="38"/>
  <c r="E30" i="38"/>
  <c r="E26" i="38"/>
  <c r="E22" i="38"/>
  <c r="F17" i="38"/>
  <c r="F13" i="38"/>
  <c r="G9" i="38"/>
  <c r="G46" i="38"/>
  <c r="G30" i="38"/>
  <c r="G26" i="38"/>
  <c r="G22" i="38"/>
  <c r="E17" i="38"/>
  <c r="E13" i="38"/>
  <c r="E49" i="38"/>
  <c r="E43" i="38"/>
  <c r="E39" i="38"/>
  <c r="E29" i="38"/>
  <c r="E25" i="38"/>
  <c r="F9" i="38"/>
  <c r="O32" i="45" l="1"/>
  <c r="S32" i="45"/>
  <c r="W32" i="45"/>
  <c r="AA32" i="45"/>
  <c r="Z32" i="45"/>
  <c r="P32" i="45"/>
  <c r="T32" i="45"/>
  <c r="X32" i="45"/>
  <c r="AB32" i="45"/>
  <c r="V32" i="45"/>
  <c r="Q32" i="45"/>
  <c r="U32" i="45"/>
  <c r="Y32" i="45"/>
  <c r="R32" i="45"/>
  <c r="Q33" i="45"/>
  <c r="U33" i="45"/>
  <c r="Y33" i="45"/>
  <c r="R33" i="45"/>
  <c r="V33" i="45"/>
  <c r="Z33" i="45"/>
  <c r="T33" i="45"/>
  <c r="X33" i="45"/>
  <c r="O33" i="45"/>
  <c r="S33" i="45"/>
  <c r="W33" i="45"/>
  <c r="AA33" i="45"/>
  <c r="P33" i="45"/>
  <c r="AB33" i="45"/>
  <c r="Q30" i="45"/>
  <c r="U30" i="45"/>
  <c r="Y30" i="45"/>
  <c r="P30" i="45"/>
  <c r="X30" i="45"/>
  <c r="R30" i="45"/>
  <c r="V30" i="45"/>
  <c r="Z30" i="45"/>
  <c r="O30" i="45"/>
  <c r="S30" i="45"/>
  <c r="W30" i="45"/>
  <c r="AA30" i="45"/>
  <c r="T30" i="45"/>
  <c r="AB30" i="45"/>
  <c r="O29" i="45"/>
  <c r="S29" i="45"/>
  <c r="W29" i="45"/>
  <c r="AA29" i="45"/>
  <c r="V29" i="45"/>
  <c r="P29" i="45"/>
  <c r="T29" i="45"/>
  <c r="X29" i="45"/>
  <c r="AB29" i="45"/>
  <c r="Z29" i="45"/>
  <c r="Q29" i="45"/>
  <c r="U29" i="45"/>
  <c r="Y29" i="45"/>
  <c r="R29" i="45"/>
  <c r="O23" i="45"/>
  <c r="S23" i="45"/>
  <c r="W23" i="45"/>
  <c r="AA23" i="45"/>
  <c r="Z23" i="45"/>
  <c r="P23" i="45"/>
  <c r="T23" i="45"/>
  <c r="X23" i="45"/>
  <c r="AB23" i="45"/>
  <c r="V23" i="45"/>
  <c r="Q23" i="45"/>
  <c r="U23" i="45"/>
  <c r="Y23" i="45"/>
  <c r="R23" i="45"/>
  <c r="Q24" i="45"/>
  <c r="U24" i="45"/>
  <c r="Y24" i="45"/>
  <c r="T24" i="45"/>
  <c r="AB24" i="45"/>
  <c r="R24" i="45"/>
  <c r="V24" i="45"/>
  <c r="Z24" i="45"/>
  <c r="X24" i="45"/>
  <c r="O24" i="45"/>
  <c r="S24" i="45"/>
  <c r="W24" i="45"/>
  <c r="AA24" i="45"/>
  <c r="P24" i="45"/>
  <c r="O18" i="45"/>
  <c r="S18" i="45"/>
  <c r="W18" i="45"/>
  <c r="AA18" i="45"/>
  <c r="Z18" i="45"/>
  <c r="P18" i="45"/>
  <c r="T18" i="45"/>
  <c r="X18" i="45"/>
  <c r="AB18" i="45"/>
  <c r="V18" i="45"/>
  <c r="Q18" i="45"/>
  <c r="U18" i="45"/>
  <c r="Y18" i="45"/>
  <c r="R18" i="45"/>
  <c r="Q19" i="45"/>
  <c r="U19" i="45"/>
  <c r="Y19" i="45"/>
  <c r="R19" i="45"/>
  <c r="V19" i="45"/>
  <c r="Z19" i="45"/>
  <c r="T19" i="45"/>
  <c r="AB19" i="45"/>
  <c r="O19" i="45"/>
  <c r="S19" i="45"/>
  <c r="W19" i="45"/>
  <c r="AA19" i="45"/>
  <c r="P19" i="45"/>
  <c r="X19" i="45"/>
  <c r="Q14" i="45"/>
  <c r="U14" i="45"/>
  <c r="Y14" i="45"/>
  <c r="R14" i="45"/>
  <c r="V14" i="45"/>
  <c r="Z14" i="45"/>
  <c r="T14" i="45"/>
  <c r="X14" i="45"/>
  <c r="O14" i="45"/>
  <c r="S14" i="45"/>
  <c r="W14" i="45"/>
  <c r="AA14" i="45"/>
  <c r="P14" i="45"/>
  <c r="AB14" i="45"/>
  <c r="O13" i="45"/>
  <c r="S13" i="45"/>
  <c r="W13" i="45"/>
  <c r="AA13" i="45"/>
  <c r="Z13" i="45"/>
  <c r="P13" i="45"/>
  <c r="T13" i="45"/>
  <c r="X13" i="45"/>
  <c r="AB13" i="45"/>
  <c r="V13" i="45"/>
  <c r="Q13" i="45"/>
  <c r="U13" i="45"/>
  <c r="Y13" i="45"/>
  <c r="R13" i="45"/>
  <c r="Q16" i="32"/>
  <c r="R16" i="32"/>
  <c r="Q17" i="32"/>
  <c r="R17" i="32"/>
  <c r="R24" i="32"/>
  <c r="Q24" i="32"/>
  <c r="R23" i="32"/>
  <c r="Q23" i="32"/>
  <c r="O23" i="40"/>
  <c r="P23" i="40" s="1"/>
  <c r="O19" i="40"/>
  <c r="P19" i="40" s="1"/>
  <c r="Q30" i="40"/>
  <c r="R30" i="40"/>
  <c r="Q18" i="40"/>
  <c r="R18" i="40"/>
  <c r="R13" i="40"/>
  <c r="Q13" i="40"/>
  <c r="R29" i="40"/>
  <c r="Q29" i="40"/>
  <c r="O24" i="40"/>
  <c r="P24" i="40" s="1"/>
  <c r="Q14" i="40"/>
  <c r="R14" i="40"/>
  <c r="I48" i="31"/>
  <c r="H48" i="31"/>
  <c r="I47" i="31"/>
  <c r="H47" i="31"/>
  <c r="I44" i="31"/>
  <c r="H44" i="31"/>
  <c r="I43" i="31"/>
  <c r="H43" i="31"/>
  <c r="I40" i="31"/>
  <c r="H40" i="31"/>
  <c r="G40" i="31"/>
  <c r="I39" i="31"/>
  <c r="H39" i="31"/>
  <c r="G39" i="31"/>
  <c r="I38" i="31"/>
  <c r="H38" i="31"/>
  <c r="G38" i="31"/>
  <c r="I37" i="31"/>
  <c r="H37" i="31"/>
  <c r="G37" i="31"/>
  <c r="I36" i="31"/>
  <c r="H36" i="31"/>
  <c r="G36" i="31"/>
  <c r="I35" i="31"/>
  <c r="H35" i="31"/>
  <c r="G35" i="31"/>
  <c r="I34" i="31"/>
  <c r="H34" i="31"/>
  <c r="G34" i="31"/>
  <c r="I33" i="31"/>
  <c r="H33" i="31"/>
  <c r="G33" i="31"/>
  <c r="I30" i="31"/>
  <c r="H30" i="31"/>
  <c r="G30" i="31"/>
  <c r="I29" i="31"/>
  <c r="H29" i="31"/>
  <c r="G29" i="31"/>
  <c r="I28" i="31"/>
  <c r="H28" i="31"/>
  <c r="G28" i="31"/>
  <c r="I27" i="31"/>
  <c r="H27" i="31"/>
  <c r="G27" i="31"/>
  <c r="I26" i="31"/>
  <c r="H26" i="31"/>
  <c r="G26" i="31"/>
  <c r="I25" i="31"/>
  <c r="H25" i="31"/>
  <c r="G25" i="31"/>
  <c r="I22" i="31"/>
  <c r="H22" i="31"/>
  <c r="G22" i="31"/>
  <c r="I21" i="31"/>
  <c r="H21" i="31"/>
  <c r="G21" i="31"/>
  <c r="I20" i="31"/>
  <c r="H20" i="31"/>
  <c r="G20" i="31"/>
  <c r="I19" i="31"/>
  <c r="H19" i="31"/>
  <c r="G19" i="31"/>
  <c r="I18" i="31"/>
  <c r="H18" i="31"/>
  <c r="G18" i="31"/>
  <c r="I17" i="31"/>
  <c r="H17" i="31"/>
  <c r="G17" i="31"/>
  <c r="I14" i="31"/>
  <c r="H14" i="31"/>
  <c r="G14" i="31"/>
  <c r="I13" i="31"/>
  <c r="H13" i="31"/>
  <c r="G13" i="31"/>
  <c r="I12" i="31"/>
  <c r="H12" i="31"/>
  <c r="G12" i="31"/>
  <c r="I11" i="31"/>
  <c r="H11" i="31"/>
  <c r="G11" i="31"/>
  <c r="I10" i="31"/>
  <c r="H10" i="31"/>
  <c r="G10" i="31"/>
  <c r="I9" i="31"/>
  <c r="H9" i="31"/>
  <c r="G9" i="31"/>
  <c r="E40" i="29"/>
  <c r="E35" i="29"/>
  <c r="G35" i="29"/>
  <c r="G37" i="29"/>
  <c r="G38" i="29"/>
  <c r="G39" i="29"/>
  <c r="G40" i="29"/>
  <c r="G42" i="29"/>
  <c r="G43" i="29"/>
  <c r="G34" i="29"/>
  <c r="G22" i="29"/>
  <c r="G23" i="29"/>
  <c r="G24" i="29"/>
  <c r="G25" i="29"/>
  <c r="G26" i="29"/>
  <c r="G27" i="29"/>
  <c r="G28" i="29"/>
  <c r="G29" i="29"/>
  <c r="G30" i="29"/>
  <c r="G31" i="29"/>
  <c r="G10" i="29"/>
  <c r="G11" i="29"/>
  <c r="G12" i="29"/>
  <c r="G13" i="29"/>
  <c r="G14" i="29"/>
  <c r="G15" i="29"/>
  <c r="G16" i="29"/>
  <c r="G17" i="29"/>
  <c r="G18" i="29"/>
  <c r="G19" i="29"/>
  <c r="G9" i="29"/>
  <c r="I49" i="29"/>
  <c r="H49" i="29"/>
  <c r="I48" i="29"/>
  <c r="H48" i="29"/>
  <c r="I47" i="29"/>
  <c r="H47" i="29"/>
  <c r="I46" i="29"/>
  <c r="H46" i="29"/>
  <c r="I40" i="29"/>
  <c r="H42" i="29"/>
  <c r="I42" i="29"/>
  <c r="H43" i="29"/>
  <c r="I43" i="29"/>
  <c r="I39" i="29"/>
  <c r="H39" i="29"/>
  <c r="I38" i="29"/>
  <c r="H38" i="29"/>
  <c r="I37" i="29"/>
  <c r="H37" i="29"/>
  <c r="I35" i="29"/>
  <c r="I34" i="29"/>
  <c r="H34" i="29"/>
  <c r="H29" i="29"/>
  <c r="I29" i="29"/>
  <c r="H30" i="29"/>
  <c r="I30" i="29"/>
  <c r="H31" i="29"/>
  <c r="I31" i="29"/>
  <c r="I28" i="29"/>
  <c r="H28" i="29"/>
  <c r="I27" i="29"/>
  <c r="H27" i="29"/>
  <c r="I26" i="29"/>
  <c r="H26" i="29"/>
  <c r="I25" i="29"/>
  <c r="H25" i="29"/>
  <c r="I24" i="29"/>
  <c r="H24" i="29"/>
  <c r="I23" i="29"/>
  <c r="H23" i="29"/>
  <c r="I22" i="29"/>
  <c r="H22" i="29"/>
  <c r="H10" i="29"/>
  <c r="I10" i="29"/>
  <c r="H11" i="29"/>
  <c r="I11" i="29"/>
  <c r="H12" i="29"/>
  <c r="I12" i="29"/>
  <c r="H13" i="29"/>
  <c r="I13" i="29"/>
  <c r="H14" i="29"/>
  <c r="I14" i="29"/>
  <c r="H15" i="29"/>
  <c r="I15" i="29"/>
  <c r="H16" i="29"/>
  <c r="I16" i="29"/>
  <c r="H17" i="29"/>
  <c r="I17" i="29"/>
  <c r="H18" i="29"/>
  <c r="I18" i="29"/>
  <c r="H19" i="29"/>
  <c r="I19" i="29"/>
  <c r="I9" i="29"/>
  <c r="H9" i="29"/>
  <c r="Z50" i="29"/>
  <c r="AB50" i="29"/>
  <c r="AA50" i="29"/>
  <c r="Y50" i="29"/>
  <c r="Q19" i="40" l="1"/>
  <c r="R19" i="40"/>
  <c r="Q24" i="40"/>
  <c r="R24" i="40"/>
  <c r="Q23" i="40"/>
  <c r="R23" i="40"/>
  <c r="D18" i="38"/>
  <c r="H18" i="38" s="1"/>
  <c r="D14" i="38"/>
  <c r="H14" i="38" s="1"/>
  <c r="D10" i="38"/>
  <c r="D28" i="38"/>
  <c r="H28" i="38" s="1"/>
  <c r="D24" i="38"/>
  <c r="D43" i="38"/>
  <c r="H43" i="38" s="1"/>
  <c r="D38" i="38"/>
  <c r="H40" i="29"/>
  <c r="D49" i="38"/>
  <c r="H49" i="38" s="1"/>
  <c r="D17" i="38"/>
  <c r="H17" i="38" s="1"/>
  <c r="D13" i="38"/>
  <c r="D31" i="38"/>
  <c r="H31" i="38" s="1"/>
  <c r="D27" i="38"/>
  <c r="H27" i="38" s="1"/>
  <c r="D23" i="38"/>
  <c r="D42" i="38"/>
  <c r="H42" i="38" s="1"/>
  <c r="D37" i="38"/>
  <c r="D47" i="38"/>
  <c r="D46" i="38"/>
  <c r="D48" i="38"/>
  <c r="H48" i="38" s="1"/>
  <c r="D9" i="38"/>
  <c r="D16" i="38"/>
  <c r="H16" i="38" s="1"/>
  <c r="D12" i="38"/>
  <c r="D30" i="38"/>
  <c r="H30" i="38" s="1"/>
  <c r="D26" i="38"/>
  <c r="D22" i="38"/>
  <c r="D40" i="38"/>
  <c r="D19" i="38"/>
  <c r="H19" i="38" s="1"/>
  <c r="D15" i="38"/>
  <c r="H15" i="38" s="1"/>
  <c r="D11" i="38"/>
  <c r="D29" i="38"/>
  <c r="H29" i="38" s="1"/>
  <c r="D25" i="38"/>
  <c r="D34" i="38"/>
  <c r="D39" i="38"/>
  <c r="H39" i="38" s="1"/>
  <c r="H35" i="29"/>
  <c r="D9" i="39"/>
  <c r="D10" i="39"/>
  <c r="D14" i="39"/>
  <c r="D20" i="39"/>
  <c r="D26" i="39"/>
  <c r="D30" i="39"/>
  <c r="D36" i="39"/>
  <c r="D40" i="39"/>
  <c r="D13" i="39"/>
  <c r="D19" i="39"/>
  <c r="D25" i="39"/>
  <c r="D29" i="39"/>
  <c r="D35" i="39"/>
  <c r="D39" i="39"/>
  <c r="H39" i="39" s="1"/>
  <c r="D44" i="39"/>
  <c r="D48" i="39"/>
  <c r="D12" i="39"/>
  <c r="H12" i="39" s="1"/>
  <c r="D18" i="39"/>
  <c r="D22" i="39"/>
  <c r="H22" i="39" s="1"/>
  <c r="D28" i="39"/>
  <c r="H28" i="39" s="1"/>
  <c r="D34" i="39"/>
  <c r="D38" i="39"/>
  <c r="D11" i="39"/>
  <c r="D17" i="39"/>
  <c r="D21" i="39"/>
  <c r="D27" i="39"/>
  <c r="D33" i="39"/>
  <c r="D37" i="39"/>
  <c r="D43" i="39"/>
  <c r="D47" i="39"/>
  <c r="E24" i="12"/>
  <c r="G24" i="12" s="1"/>
  <c r="G23" i="12"/>
  <c r="H11" i="38" l="1"/>
  <c r="J11" i="38"/>
  <c r="H26" i="38"/>
  <c r="I31" i="38" s="1"/>
  <c r="J31" i="38" s="1"/>
  <c r="J22" i="32" s="1"/>
  <c r="K22" i="32" s="1"/>
  <c r="J26" i="38"/>
  <c r="H9" i="38"/>
  <c r="J9" i="38"/>
  <c r="H34" i="38"/>
  <c r="I39" i="38" s="1"/>
  <c r="J39" i="38" s="1"/>
  <c r="J25" i="32" s="1"/>
  <c r="K25" i="32" s="1"/>
  <c r="J34" i="38"/>
  <c r="D35" i="38"/>
  <c r="H37" i="38"/>
  <c r="I42" i="38" s="1"/>
  <c r="J42" i="38" s="1"/>
  <c r="J27" i="32" s="1"/>
  <c r="K27" i="32" s="1"/>
  <c r="J37" i="38"/>
  <c r="J24" i="38"/>
  <c r="H24" i="38"/>
  <c r="I29" i="38" s="1"/>
  <c r="J29" i="38" s="1"/>
  <c r="J20" i="32" s="1"/>
  <c r="K20" i="32" s="1"/>
  <c r="H25" i="38"/>
  <c r="I30" i="38" s="1"/>
  <c r="J30" i="38" s="1"/>
  <c r="J21" i="32" s="1"/>
  <c r="K21" i="32" s="1"/>
  <c r="J25" i="38"/>
  <c r="H40" i="38"/>
  <c r="H12" i="38"/>
  <c r="I18" i="38" s="1"/>
  <c r="J18" i="38" s="1"/>
  <c r="J14" i="32" s="1"/>
  <c r="K14" i="32" s="1"/>
  <c r="J12" i="38"/>
  <c r="H13" i="38"/>
  <c r="I19" i="38" s="1"/>
  <c r="J19" i="38" s="1"/>
  <c r="J15" i="32" s="1"/>
  <c r="K15" i="32" s="1"/>
  <c r="J13" i="38"/>
  <c r="H22" i="38"/>
  <c r="I27" i="38" s="1"/>
  <c r="J27" i="38" s="1"/>
  <c r="J18" i="32" s="1"/>
  <c r="K18" i="32" s="1"/>
  <c r="J22" i="38"/>
  <c r="H46" i="38"/>
  <c r="I48" i="38" s="1"/>
  <c r="J48" i="38" s="1"/>
  <c r="J31" i="32" s="1"/>
  <c r="K31" i="32" s="1"/>
  <c r="J46" i="38"/>
  <c r="H47" i="38"/>
  <c r="I49" i="38" s="1"/>
  <c r="J49" i="38" s="1"/>
  <c r="J32" i="32" s="1"/>
  <c r="K32" i="32" s="1"/>
  <c r="J47" i="38"/>
  <c r="H23" i="38"/>
  <c r="I28" i="38" s="1"/>
  <c r="J28" i="38" s="1"/>
  <c r="J19" i="32" s="1"/>
  <c r="K19" i="32" s="1"/>
  <c r="J23" i="38"/>
  <c r="H38" i="38"/>
  <c r="I43" i="38" s="1"/>
  <c r="J43" i="38" s="1"/>
  <c r="J28" i="32" s="1"/>
  <c r="K28" i="32" s="1"/>
  <c r="J38" i="38"/>
  <c r="H10" i="38"/>
  <c r="I15" i="38" s="1"/>
  <c r="J15" i="38" s="1"/>
  <c r="J11" i="32" s="1"/>
  <c r="K11" i="32" s="1"/>
  <c r="J10" i="38"/>
  <c r="H33" i="39"/>
  <c r="I37" i="39" s="1"/>
  <c r="J37" i="39" s="1"/>
  <c r="J33" i="39"/>
  <c r="H21" i="39"/>
  <c r="J11" i="39"/>
  <c r="H11" i="39"/>
  <c r="I14" i="39" s="1"/>
  <c r="J14" i="39" s="1"/>
  <c r="J35" i="39"/>
  <c r="H35" i="39"/>
  <c r="I39" i="39" s="1"/>
  <c r="J39" i="39" s="1"/>
  <c r="J25" i="39"/>
  <c r="H25" i="39"/>
  <c r="I28" i="39" s="1"/>
  <c r="J28" i="39" s="1"/>
  <c r="H13" i="39"/>
  <c r="H36" i="39"/>
  <c r="I40" i="39" s="1"/>
  <c r="J40" i="39" s="1"/>
  <c r="J36" i="39"/>
  <c r="H14" i="39"/>
  <c r="H43" i="39"/>
  <c r="I44" i="39" s="1"/>
  <c r="J44" i="39" s="1"/>
  <c r="J43" i="39"/>
  <c r="H38" i="39"/>
  <c r="H18" i="39"/>
  <c r="I21" i="39" s="1"/>
  <c r="J21" i="39" s="1"/>
  <c r="J18" i="39"/>
  <c r="H30" i="39"/>
  <c r="J10" i="39"/>
  <c r="H10" i="39"/>
  <c r="I13" i="39" s="1"/>
  <c r="J13" i="39" s="1"/>
  <c r="J47" i="39"/>
  <c r="H47" i="39"/>
  <c r="I48" i="39" s="1"/>
  <c r="J48" i="39" s="1"/>
  <c r="H37" i="39"/>
  <c r="H27" i="39"/>
  <c r="I30" i="39" s="1"/>
  <c r="J30" i="39" s="1"/>
  <c r="J27" i="39"/>
  <c r="J17" i="39"/>
  <c r="H17" i="39"/>
  <c r="I20" i="39" s="1"/>
  <c r="J20" i="39" s="1"/>
  <c r="J34" i="39"/>
  <c r="H34" i="39"/>
  <c r="I38" i="39" s="1"/>
  <c r="J38" i="39" s="1"/>
  <c r="H48" i="39"/>
  <c r="H44" i="39"/>
  <c r="H29" i="39"/>
  <c r="H19" i="39"/>
  <c r="I22" i="39" s="1"/>
  <c r="J22" i="39" s="1"/>
  <c r="J19" i="39"/>
  <c r="J26" i="39"/>
  <c r="H26" i="39"/>
  <c r="I29" i="39" s="1"/>
  <c r="J29" i="39" s="1"/>
  <c r="H40" i="39"/>
  <c r="H20" i="39"/>
  <c r="H9" i="39"/>
  <c r="J9" i="39"/>
  <c r="B4" i="12"/>
  <c r="J34" i="40" l="1"/>
  <c r="K34" i="40" s="1"/>
  <c r="E34" i="40"/>
  <c r="F34" i="40" s="1"/>
  <c r="G34" i="40" s="1"/>
  <c r="J22" i="40"/>
  <c r="K22" i="40" s="1"/>
  <c r="E22" i="40"/>
  <c r="F22" i="40" s="1"/>
  <c r="G22" i="40" s="1"/>
  <c r="E20" i="40"/>
  <c r="F20" i="40" s="1"/>
  <c r="G20" i="40" s="1"/>
  <c r="J20" i="40"/>
  <c r="K20" i="40" s="1"/>
  <c r="J28" i="40"/>
  <c r="K28" i="40" s="1"/>
  <c r="E28" i="40"/>
  <c r="F28" i="40" s="1"/>
  <c r="G28" i="40" s="1"/>
  <c r="J21" i="40"/>
  <c r="K21" i="40" s="1"/>
  <c r="E21" i="40"/>
  <c r="F21" i="40" s="1"/>
  <c r="G21" i="40" s="1"/>
  <c r="E11" i="40"/>
  <c r="F11" i="40" s="1"/>
  <c r="G11" i="40" s="1"/>
  <c r="J11" i="40"/>
  <c r="K11" i="40" s="1"/>
  <c r="J27" i="40"/>
  <c r="K27" i="40" s="1"/>
  <c r="E27" i="40"/>
  <c r="F27" i="40" s="1"/>
  <c r="G27" i="40" s="1"/>
  <c r="J17" i="40"/>
  <c r="K17" i="40" s="1"/>
  <c r="E17" i="40"/>
  <c r="F17" i="40" s="1"/>
  <c r="G17" i="40" s="1"/>
  <c r="J26" i="40"/>
  <c r="K26" i="40" s="1"/>
  <c r="E26" i="40"/>
  <c r="F26" i="40" s="1"/>
  <c r="G26" i="40" s="1"/>
  <c r="J31" i="40"/>
  <c r="K31" i="40" s="1"/>
  <c r="E31" i="40"/>
  <c r="F31" i="40" s="1"/>
  <c r="G31" i="40" s="1"/>
  <c r="E16" i="40"/>
  <c r="F16" i="40" s="1"/>
  <c r="G16" i="40" s="1"/>
  <c r="J16" i="40"/>
  <c r="K16" i="40" s="1"/>
  <c r="J12" i="40"/>
  <c r="K12" i="40" s="1"/>
  <c r="E12" i="40"/>
  <c r="F12" i="40" s="1"/>
  <c r="G12" i="40" s="1"/>
  <c r="J25" i="40"/>
  <c r="K25" i="40" s="1"/>
  <c r="E25" i="40"/>
  <c r="F25" i="40" s="1"/>
  <c r="G25" i="40" s="1"/>
  <c r="E15" i="40"/>
  <c r="F15" i="40" s="1"/>
  <c r="G15" i="40" s="1"/>
  <c r="J15" i="40"/>
  <c r="K15" i="40" s="1"/>
  <c r="L11" i="32"/>
  <c r="M11" i="32" s="1"/>
  <c r="N11" i="32" s="1"/>
  <c r="L19" i="32"/>
  <c r="M19" i="32" s="1"/>
  <c r="N19" i="32" s="1"/>
  <c r="L31" i="32"/>
  <c r="M31" i="32" s="1"/>
  <c r="N31" i="32" s="1"/>
  <c r="L15" i="32"/>
  <c r="M15" i="32" s="1"/>
  <c r="N15" i="32" s="1"/>
  <c r="L25" i="32"/>
  <c r="M25" i="32" s="1"/>
  <c r="N25" i="32" s="1"/>
  <c r="L21" i="32"/>
  <c r="M21" i="32" s="1"/>
  <c r="N21" i="32" s="1"/>
  <c r="L27" i="32"/>
  <c r="M27" i="32" s="1"/>
  <c r="N27" i="32" s="1"/>
  <c r="L22" i="32"/>
  <c r="M22" i="32" s="1"/>
  <c r="N22" i="32" s="1"/>
  <c r="L28" i="32"/>
  <c r="M28" i="32" s="1"/>
  <c r="N28" i="32" s="1"/>
  <c r="L18" i="32"/>
  <c r="M18" i="32" s="1"/>
  <c r="N18" i="32" s="1"/>
  <c r="L14" i="32"/>
  <c r="M14" i="32" s="1"/>
  <c r="N14" i="32" s="1"/>
  <c r="L20" i="32"/>
  <c r="M20" i="32" s="1"/>
  <c r="N20" i="32" s="1"/>
  <c r="L32" i="32"/>
  <c r="M32" i="32" s="1"/>
  <c r="N32" i="32" s="1"/>
  <c r="E31" i="32"/>
  <c r="E25" i="32"/>
  <c r="E27" i="32"/>
  <c r="E28" i="32"/>
  <c r="E32" i="32"/>
  <c r="E21" i="32"/>
  <c r="F21" i="32" s="1"/>
  <c r="G21" i="32" s="1"/>
  <c r="E22" i="32"/>
  <c r="F22" i="32" s="1"/>
  <c r="G22" i="32" s="1"/>
  <c r="E11" i="32"/>
  <c r="E19" i="32"/>
  <c r="E15" i="32"/>
  <c r="E18" i="32"/>
  <c r="E14" i="32"/>
  <c r="E20" i="32"/>
  <c r="I12" i="39"/>
  <c r="J12" i="39" s="1"/>
  <c r="J10" i="40" s="1"/>
  <c r="K10" i="40" s="1"/>
  <c r="I14" i="38"/>
  <c r="J14" i="38" s="1"/>
  <c r="H35" i="38"/>
  <c r="I40" i="38" s="1"/>
  <c r="J40" i="38" s="1"/>
  <c r="J26" i="32" s="1"/>
  <c r="J35" i="38"/>
  <c r="I17" i="38"/>
  <c r="J17" i="38" s="1"/>
  <c r="J13" i="32" s="1"/>
  <c r="I16" i="38"/>
  <c r="J16" i="38" s="1"/>
  <c r="J12" i="32" s="1"/>
  <c r="H34" i="40" l="1"/>
  <c r="I34" i="40" s="1"/>
  <c r="L34" i="40"/>
  <c r="M34" i="40" s="1"/>
  <c r="N34" i="40" s="1"/>
  <c r="H25" i="40"/>
  <c r="I25" i="40" s="1"/>
  <c r="L16" i="40"/>
  <c r="M16" i="40" s="1"/>
  <c r="N16" i="40" s="1"/>
  <c r="H26" i="40"/>
  <c r="I26" i="40" s="1"/>
  <c r="H27" i="40"/>
  <c r="I27" i="40" s="1"/>
  <c r="H21" i="40"/>
  <c r="I21" i="40" s="1"/>
  <c r="L20" i="40"/>
  <c r="M20" i="40" s="1"/>
  <c r="N20" i="40" s="1"/>
  <c r="L25" i="40"/>
  <c r="M25" i="40" s="1"/>
  <c r="N25" i="40" s="1"/>
  <c r="H16" i="40"/>
  <c r="I16" i="40" s="1"/>
  <c r="L26" i="40"/>
  <c r="M26" i="40" s="1"/>
  <c r="N26" i="40" s="1"/>
  <c r="L27" i="40"/>
  <c r="M27" i="40" s="1"/>
  <c r="N27" i="40" s="1"/>
  <c r="L21" i="40"/>
  <c r="M21" i="40" s="1"/>
  <c r="N21" i="40" s="1"/>
  <c r="H20" i="40"/>
  <c r="I20" i="40" s="1"/>
  <c r="L15" i="40"/>
  <c r="M15" i="40" s="1"/>
  <c r="N15" i="40" s="1"/>
  <c r="H12" i="40"/>
  <c r="I12" i="40" s="1"/>
  <c r="H31" i="40"/>
  <c r="I31" i="40" s="1"/>
  <c r="H17" i="40"/>
  <c r="I17" i="40" s="1"/>
  <c r="L11" i="40"/>
  <c r="M11" i="40" s="1"/>
  <c r="N11" i="40" s="1"/>
  <c r="H28" i="40"/>
  <c r="I28" i="40" s="1"/>
  <c r="H22" i="40"/>
  <c r="I22" i="40" s="1"/>
  <c r="H15" i="40"/>
  <c r="I15" i="40" s="1"/>
  <c r="L12" i="40"/>
  <c r="M12" i="40" s="1"/>
  <c r="N12" i="40" s="1"/>
  <c r="L31" i="40"/>
  <c r="M31" i="40" s="1"/>
  <c r="N31" i="40" s="1"/>
  <c r="L17" i="40"/>
  <c r="M17" i="40" s="1"/>
  <c r="N17" i="40" s="1"/>
  <c r="H11" i="40"/>
  <c r="I11" i="40" s="1"/>
  <c r="L28" i="40"/>
  <c r="M28" i="40" s="1"/>
  <c r="N28" i="40" s="1"/>
  <c r="L22" i="40"/>
  <c r="M22" i="40" s="1"/>
  <c r="N22" i="40" s="1"/>
  <c r="L10" i="40"/>
  <c r="M10" i="40" s="1"/>
  <c r="N10" i="40" s="1"/>
  <c r="E10" i="40"/>
  <c r="F10" i="40" s="1"/>
  <c r="G10" i="40" s="1"/>
  <c r="O22" i="32"/>
  <c r="O15" i="32"/>
  <c r="O18" i="32"/>
  <c r="O21" i="32"/>
  <c r="O20" i="32"/>
  <c r="O14" i="32"/>
  <c r="O27" i="32"/>
  <c r="O31" i="32"/>
  <c r="O19" i="32"/>
  <c r="O32" i="32"/>
  <c r="O28" i="32"/>
  <c r="O25" i="32"/>
  <c r="O11" i="32"/>
  <c r="J10" i="32"/>
  <c r="K10" i="32" s="1"/>
  <c r="K26" i="32"/>
  <c r="K13" i="32"/>
  <c r="K12" i="32"/>
  <c r="H21" i="32"/>
  <c r="I21" i="32" s="1"/>
  <c r="H22" i="32"/>
  <c r="I22" i="32" s="1"/>
  <c r="F28" i="32"/>
  <c r="G28" i="32" s="1"/>
  <c r="F27" i="32"/>
  <c r="G27" i="32" s="1"/>
  <c r="F25" i="32"/>
  <c r="G25" i="32" s="1"/>
  <c r="F32" i="32"/>
  <c r="G32" i="32" s="1"/>
  <c r="F31" i="32"/>
  <c r="G31" i="32" s="1"/>
  <c r="F14" i="32"/>
  <c r="G14" i="32" s="1"/>
  <c r="F15" i="32"/>
  <c r="G15" i="32" s="1"/>
  <c r="F11" i="32"/>
  <c r="G11" i="32" s="1"/>
  <c r="F20" i="32"/>
  <c r="G20" i="32" s="1"/>
  <c r="F18" i="32"/>
  <c r="G18" i="32" s="1"/>
  <c r="F19" i="32"/>
  <c r="G19" i="32" s="1"/>
  <c r="E26" i="32"/>
  <c r="E10" i="32"/>
  <c r="E13" i="32"/>
  <c r="F13" i="32" s="1"/>
  <c r="E12" i="32"/>
  <c r="F12" i="32" s="1"/>
  <c r="O34" i="40" l="1"/>
  <c r="P34" i="40" s="1"/>
  <c r="O17" i="40"/>
  <c r="P17" i="40" s="1"/>
  <c r="F17" i="45" s="1"/>
  <c r="O31" i="40"/>
  <c r="P31" i="40" s="1"/>
  <c r="F31" i="45" s="1"/>
  <c r="O27" i="40"/>
  <c r="P27" i="40" s="1"/>
  <c r="F27" i="45" s="1"/>
  <c r="O26" i="40"/>
  <c r="P26" i="40" s="1"/>
  <c r="F26" i="45" s="1"/>
  <c r="O22" i="40"/>
  <c r="P22" i="40" s="1"/>
  <c r="F22" i="45" s="1"/>
  <c r="O21" i="40"/>
  <c r="P21" i="40" s="1"/>
  <c r="F21" i="45" s="1"/>
  <c r="O15" i="40"/>
  <c r="P15" i="40" s="1"/>
  <c r="F15" i="45" s="1"/>
  <c r="O25" i="40"/>
  <c r="P25" i="40" s="1"/>
  <c r="F25" i="45" s="1"/>
  <c r="O11" i="40"/>
  <c r="P11" i="40" s="1"/>
  <c r="F11" i="45" s="1"/>
  <c r="O28" i="40"/>
  <c r="P28" i="40" s="1"/>
  <c r="F28" i="45" s="1"/>
  <c r="O20" i="40"/>
  <c r="P20" i="40" s="1"/>
  <c r="F20" i="45" s="1"/>
  <c r="O16" i="40"/>
  <c r="P16" i="40" s="1"/>
  <c r="F16" i="45" s="1"/>
  <c r="O12" i="40"/>
  <c r="P12" i="40" s="1"/>
  <c r="F12" i="45" s="1"/>
  <c r="P21" i="32"/>
  <c r="P22" i="32"/>
  <c r="L12" i="32"/>
  <c r="M12" i="32" s="1"/>
  <c r="N12" i="32" s="1"/>
  <c r="L13" i="32"/>
  <c r="M13" i="32" s="1"/>
  <c r="N13" i="32" s="1"/>
  <c r="L10" i="32"/>
  <c r="M10" i="32" s="1"/>
  <c r="N10" i="32" s="1"/>
  <c r="L26" i="32"/>
  <c r="M26" i="32" s="1"/>
  <c r="N26" i="32" s="1"/>
  <c r="H32" i="32"/>
  <c r="I32" i="32" s="1"/>
  <c r="P32" i="32" s="1"/>
  <c r="H25" i="32"/>
  <c r="I25" i="32" s="1"/>
  <c r="P25" i="32" s="1"/>
  <c r="H27" i="32"/>
  <c r="I27" i="32" s="1"/>
  <c r="P27" i="32" s="1"/>
  <c r="H31" i="32"/>
  <c r="I31" i="32" s="1"/>
  <c r="P31" i="32" s="1"/>
  <c r="H28" i="32"/>
  <c r="I28" i="32" s="1"/>
  <c r="P28" i="32" s="1"/>
  <c r="H18" i="32"/>
  <c r="I18" i="32" s="1"/>
  <c r="P18" i="32" s="1"/>
  <c r="H15" i="32"/>
  <c r="I15" i="32" s="1"/>
  <c r="H20" i="32"/>
  <c r="I20" i="32" s="1"/>
  <c r="P20" i="32" s="1"/>
  <c r="H14" i="32"/>
  <c r="I14" i="32" s="1"/>
  <c r="P14" i="32" s="1"/>
  <c r="H19" i="32"/>
  <c r="I19" i="32" s="1"/>
  <c r="P19" i="32" s="1"/>
  <c r="H11" i="32"/>
  <c r="I11" i="32" s="1"/>
  <c r="P11" i="32" s="1"/>
  <c r="F26" i="32"/>
  <c r="G26" i="32" s="1"/>
  <c r="F10" i="32"/>
  <c r="G10" i="32" s="1"/>
  <c r="G13" i="32"/>
  <c r="G12" i="32"/>
  <c r="R34" i="40" l="1"/>
  <c r="Q34" i="40"/>
  <c r="F34" i="45"/>
  <c r="F19" i="41"/>
  <c r="F14" i="41"/>
  <c r="F28" i="41"/>
  <c r="F32" i="41"/>
  <c r="F20" i="41"/>
  <c r="F31" i="41"/>
  <c r="F22" i="41"/>
  <c r="F11" i="41"/>
  <c r="F27" i="41"/>
  <c r="F21" i="41"/>
  <c r="F18" i="41"/>
  <c r="F25" i="41"/>
  <c r="Q20" i="40"/>
  <c r="R20" i="40"/>
  <c r="R25" i="40"/>
  <c r="Q25" i="40"/>
  <c r="G25" i="45" s="1"/>
  <c r="H25" i="45" s="1"/>
  <c r="Q28" i="40"/>
  <c r="R28" i="40"/>
  <c r="Q15" i="40"/>
  <c r="R15" i="40"/>
  <c r="Q26" i="40"/>
  <c r="R26" i="40"/>
  <c r="Q27" i="40"/>
  <c r="R27" i="40"/>
  <c r="Q12" i="40"/>
  <c r="R12" i="40"/>
  <c r="R21" i="40"/>
  <c r="Q21" i="40"/>
  <c r="Q16" i="40"/>
  <c r="G16" i="45" s="1"/>
  <c r="H16" i="45" s="1"/>
  <c r="R16" i="40"/>
  <c r="Q31" i="40"/>
  <c r="R31" i="40"/>
  <c r="R17" i="40"/>
  <c r="Q17" i="40"/>
  <c r="G17" i="45" s="1"/>
  <c r="H17" i="45" s="1"/>
  <c r="Q11" i="40"/>
  <c r="R11" i="40"/>
  <c r="Q22" i="40"/>
  <c r="R22" i="40"/>
  <c r="O10" i="40"/>
  <c r="H10" i="40"/>
  <c r="I10" i="40" s="1"/>
  <c r="Q19" i="32"/>
  <c r="G19" i="41" s="1"/>
  <c r="R19" i="32"/>
  <c r="Q18" i="32"/>
  <c r="R18" i="32"/>
  <c r="Q25" i="32"/>
  <c r="R25" i="32"/>
  <c r="Q14" i="32"/>
  <c r="R14" i="32"/>
  <c r="Q28" i="32"/>
  <c r="R28" i="32"/>
  <c r="Q32" i="32"/>
  <c r="R32" i="32"/>
  <c r="Q20" i="32"/>
  <c r="G20" i="41" s="1"/>
  <c r="R20" i="32"/>
  <c r="Q31" i="32"/>
  <c r="R31" i="32"/>
  <c r="Q22" i="32"/>
  <c r="R22" i="32"/>
  <c r="Q11" i="32"/>
  <c r="R11" i="32"/>
  <c r="Q27" i="32"/>
  <c r="G27" i="41" s="1"/>
  <c r="R27" i="32"/>
  <c r="Q21" i="32"/>
  <c r="R21" i="32"/>
  <c r="P15" i="32"/>
  <c r="O26" i="32"/>
  <c r="O10" i="32"/>
  <c r="O13" i="32"/>
  <c r="O12" i="32"/>
  <c r="H26" i="32"/>
  <c r="I26" i="32" s="1"/>
  <c r="H12" i="32"/>
  <c r="I12" i="32" s="1"/>
  <c r="H13" i="32"/>
  <c r="I13" i="32" s="1"/>
  <c r="H10" i="32"/>
  <c r="G18" i="41" l="1"/>
  <c r="G22" i="41"/>
  <c r="G21" i="41"/>
  <c r="H21" i="41" s="1"/>
  <c r="J21" i="41" s="1"/>
  <c r="G32" i="41"/>
  <c r="H32" i="41" s="1"/>
  <c r="J32" i="41" s="1"/>
  <c r="G34" i="45"/>
  <c r="H34" i="45" s="1"/>
  <c r="J34" i="45" s="1"/>
  <c r="J16" i="45"/>
  <c r="I16" i="45"/>
  <c r="I25" i="45"/>
  <c r="J25" i="45"/>
  <c r="I17" i="45"/>
  <c r="J17" i="45"/>
  <c r="G22" i="45"/>
  <c r="H22" i="45" s="1"/>
  <c r="G21" i="45"/>
  <c r="H21" i="45" s="1"/>
  <c r="G20" i="45"/>
  <c r="H20" i="45" s="1"/>
  <c r="G11" i="45"/>
  <c r="H11" i="45" s="1"/>
  <c r="G28" i="45"/>
  <c r="H28" i="45" s="1"/>
  <c r="G26" i="45"/>
  <c r="H26" i="45" s="1"/>
  <c r="G12" i="45"/>
  <c r="H12" i="45" s="1"/>
  <c r="G27" i="45"/>
  <c r="H27" i="45" s="1"/>
  <c r="G31" i="45"/>
  <c r="H31" i="45" s="1"/>
  <c r="G15" i="45"/>
  <c r="H15" i="45" s="1"/>
  <c r="F15" i="41"/>
  <c r="H27" i="41"/>
  <c r="J27" i="41" s="1"/>
  <c r="H20" i="41"/>
  <c r="I20" i="41" s="1"/>
  <c r="H18" i="41"/>
  <c r="J18" i="41" s="1"/>
  <c r="H22" i="41"/>
  <c r="I22" i="41" s="1"/>
  <c r="H19" i="41"/>
  <c r="J19" i="41" s="1"/>
  <c r="G28" i="41"/>
  <c r="G25" i="41"/>
  <c r="H25" i="41" s="1"/>
  <c r="G31" i="41"/>
  <c r="H31" i="41" s="1"/>
  <c r="G11" i="41"/>
  <c r="H11" i="41" s="1"/>
  <c r="G14" i="41"/>
  <c r="H14" i="41" s="1"/>
  <c r="P10" i="40"/>
  <c r="R15" i="32"/>
  <c r="Q15" i="32"/>
  <c r="P26" i="32"/>
  <c r="F26" i="41" s="1"/>
  <c r="P12" i="32"/>
  <c r="P13" i="32"/>
  <c r="I10" i="32"/>
  <c r="P10" i="32" s="1"/>
  <c r="I34" i="45" l="1"/>
  <c r="K34" i="45"/>
  <c r="L34" i="45"/>
  <c r="M34" i="45" s="1"/>
  <c r="I15" i="45"/>
  <c r="J15" i="45"/>
  <c r="J26" i="45"/>
  <c r="I26" i="45"/>
  <c r="I21" i="45"/>
  <c r="J21" i="45"/>
  <c r="L25" i="45"/>
  <c r="M25" i="45" s="1"/>
  <c r="K25" i="45"/>
  <c r="I31" i="45"/>
  <c r="J31" i="45"/>
  <c r="J28" i="45"/>
  <c r="I28" i="45"/>
  <c r="J22" i="45"/>
  <c r="I22" i="45"/>
  <c r="I27" i="45"/>
  <c r="J27" i="45"/>
  <c r="I11" i="45"/>
  <c r="J11" i="45"/>
  <c r="L17" i="45"/>
  <c r="M17" i="45" s="1"/>
  <c r="K17" i="45"/>
  <c r="J12" i="45"/>
  <c r="I12" i="45"/>
  <c r="J20" i="45"/>
  <c r="I20" i="45"/>
  <c r="K16" i="45"/>
  <c r="L16" i="45"/>
  <c r="M16" i="45" s="1"/>
  <c r="F10" i="45"/>
  <c r="F10" i="41"/>
  <c r="F13" i="41"/>
  <c r="F12" i="41"/>
  <c r="I27" i="41"/>
  <c r="I32" i="41"/>
  <c r="I18" i="41"/>
  <c r="I21" i="41"/>
  <c r="I19" i="41"/>
  <c r="H28" i="41"/>
  <c r="J28" i="41" s="1"/>
  <c r="J22" i="41"/>
  <c r="L22" i="41" s="1"/>
  <c r="M22" i="41" s="1"/>
  <c r="J20" i="41"/>
  <c r="L20" i="41" s="1"/>
  <c r="M20" i="41" s="1"/>
  <c r="L18" i="41"/>
  <c r="M18" i="41" s="1"/>
  <c r="K18" i="41"/>
  <c r="L19" i="41"/>
  <c r="M19" i="41" s="1"/>
  <c r="K19" i="41"/>
  <c r="L32" i="41"/>
  <c r="M32" i="41" s="1"/>
  <c r="K32" i="41"/>
  <c r="L21" i="41"/>
  <c r="M21" i="41" s="1"/>
  <c r="K21" i="41"/>
  <c r="L27" i="41"/>
  <c r="M27" i="41" s="1"/>
  <c r="K27" i="41"/>
  <c r="J25" i="41"/>
  <c r="J14" i="41"/>
  <c r="J31" i="41"/>
  <c r="J11" i="41"/>
  <c r="G15" i="41"/>
  <c r="H15" i="41" s="1"/>
  <c r="R10" i="40"/>
  <c r="Q10" i="40"/>
  <c r="Q26" i="32"/>
  <c r="G26" i="41" s="1"/>
  <c r="H26" i="41" s="1"/>
  <c r="J26" i="41" s="1"/>
  <c r="R26" i="32"/>
  <c r="R13" i="32"/>
  <c r="Q12" i="32"/>
  <c r="R12" i="32"/>
  <c r="Q10" i="32"/>
  <c r="R10" i="32"/>
  <c r="Q13" i="32"/>
  <c r="G10" i="45" l="1"/>
  <c r="H10" i="45" s="1"/>
  <c r="Q34" i="45"/>
  <c r="U34" i="45"/>
  <c r="Y34" i="45"/>
  <c r="X34" i="45"/>
  <c r="R34" i="45"/>
  <c r="V34" i="45"/>
  <c r="Z34" i="45"/>
  <c r="O34" i="45"/>
  <c r="S34" i="45"/>
  <c r="W34" i="45"/>
  <c r="AA34" i="45"/>
  <c r="P34" i="45"/>
  <c r="T34" i="45"/>
  <c r="AB34" i="45"/>
  <c r="O17" i="45"/>
  <c r="S17" i="45"/>
  <c r="W17" i="45"/>
  <c r="AA17" i="45"/>
  <c r="V17" i="45"/>
  <c r="P17" i="45"/>
  <c r="T17" i="45"/>
  <c r="X17" i="45"/>
  <c r="AB17" i="45"/>
  <c r="R17" i="45"/>
  <c r="Q17" i="45"/>
  <c r="U17" i="45"/>
  <c r="Y17" i="45"/>
  <c r="Z17" i="45"/>
  <c r="O25" i="45"/>
  <c r="S25" i="45"/>
  <c r="W25" i="45"/>
  <c r="AA25" i="45"/>
  <c r="Z25" i="45"/>
  <c r="P25" i="45"/>
  <c r="T25" i="45"/>
  <c r="X25" i="45"/>
  <c r="AB25" i="45"/>
  <c r="Q25" i="45"/>
  <c r="U25" i="45"/>
  <c r="Y25" i="45"/>
  <c r="R25" i="45"/>
  <c r="V25" i="45"/>
  <c r="Q16" i="45"/>
  <c r="U16" i="45"/>
  <c r="Y16" i="45"/>
  <c r="X16" i="45"/>
  <c r="R16" i="45"/>
  <c r="V16" i="45"/>
  <c r="Z16" i="45"/>
  <c r="P16" i="45"/>
  <c r="O16" i="45"/>
  <c r="S16" i="45"/>
  <c r="W16" i="45"/>
  <c r="AA16" i="45"/>
  <c r="T16" i="45"/>
  <c r="AB16" i="45"/>
  <c r="L27" i="45"/>
  <c r="M27" i="45" s="1"/>
  <c r="K27" i="45"/>
  <c r="K20" i="45"/>
  <c r="L20" i="45"/>
  <c r="M20" i="45" s="1"/>
  <c r="K28" i="45"/>
  <c r="L28" i="45"/>
  <c r="M28" i="45" s="1"/>
  <c r="K26" i="45"/>
  <c r="L26" i="45"/>
  <c r="M26" i="45" s="1"/>
  <c r="L11" i="45"/>
  <c r="M11" i="45" s="1"/>
  <c r="K11" i="45"/>
  <c r="L31" i="45"/>
  <c r="M31" i="45" s="1"/>
  <c r="K31" i="45"/>
  <c r="L21" i="45"/>
  <c r="M21" i="45" s="1"/>
  <c r="K21" i="45"/>
  <c r="L15" i="45"/>
  <c r="M15" i="45" s="1"/>
  <c r="K15" i="45"/>
  <c r="K12" i="45"/>
  <c r="L12" i="45"/>
  <c r="M12" i="45" s="1"/>
  <c r="K22" i="45"/>
  <c r="L22" i="45"/>
  <c r="M22" i="45" s="1"/>
  <c r="K20" i="41"/>
  <c r="T20" i="41" s="1"/>
  <c r="I28" i="41"/>
  <c r="K22" i="41"/>
  <c r="W22" i="41" s="1"/>
  <c r="G10" i="41"/>
  <c r="T27" i="41"/>
  <c r="T21" i="41"/>
  <c r="T19" i="41"/>
  <c r="T18" i="41"/>
  <c r="T32" i="41"/>
  <c r="O21" i="41"/>
  <c r="S21" i="41"/>
  <c r="W21" i="41"/>
  <c r="AA21" i="41"/>
  <c r="P21" i="41"/>
  <c r="X21" i="41"/>
  <c r="AB21" i="41"/>
  <c r="Q21" i="41"/>
  <c r="U21" i="41"/>
  <c r="Y21" i="41"/>
  <c r="R21" i="41"/>
  <c r="V21" i="41"/>
  <c r="Z21" i="41"/>
  <c r="O19" i="41"/>
  <c r="S19" i="41"/>
  <c r="W19" i="41"/>
  <c r="AA19" i="41"/>
  <c r="P19" i="41"/>
  <c r="X19" i="41"/>
  <c r="AB19" i="41"/>
  <c r="Q19" i="41"/>
  <c r="U19" i="41"/>
  <c r="Y19" i="41"/>
  <c r="R19" i="41"/>
  <c r="V19" i="41"/>
  <c r="Z19" i="41"/>
  <c r="O18" i="41"/>
  <c r="S18" i="41"/>
  <c r="W18" i="41"/>
  <c r="AA18" i="41"/>
  <c r="P18" i="41"/>
  <c r="X18" i="41"/>
  <c r="AB18" i="41"/>
  <c r="Q18" i="41"/>
  <c r="U18" i="41"/>
  <c r="Y18" i="41"/>
  <c r="Z18" i="41"/>
  <c r="R18" i="41"/>
  <c r="V18" i="41"/>
  <c r="O27" i="41"/>
  <c r="S27" i="41"/>
  <c r="W27" i="41"/>
  <c r="AA27" i="41"/>
  <c r="P27" i="41"/>
  <c r="X27" i="41"/>
  <c r="AB27" i="41"/>
  <c r="Q27" i="41"/>
  <c r="U27" i="41"/>
  <c r="Y27" i="41"/>
  <c r="Z27" i="41"/>
  <c r="R27" i="41"/>
  <c r="V27" i="41"/>
  <c r="O32" i="41"/>
  <c r="Q32" i="41"/>
  <c r="S32" i="41"/>
  <c r="W32" i="41"/>
  <c r="AA32" i="41"/>
  <c r="AB32" i="41"/>
  <c r="X32" i="41"/>
  <c r="P32" i="41"/>
  <c r="U32" i="41"/>
  <c r="Y32" i="41"/>
  <c r="R32" i="41"/>
  <c r="V32" i="41"/>
  <c r="Z32" i="41"/>
  <c r="O20" i="41"/>
  <c r="S20" i="41"/>
  <c r="W20" i="41"/>
  <c r="P20" i="41"/>
  <c r="Q20" i="41"/>
  <c r="U20" i="41"/>
  <c r="R20" i="41"/>
  <c r="O22" i="41"/>
  <c r="S22" i="41"/>
  <c r="P22" i="41"/>
  <c r="Q22" i="41"/>
  <c r="R22" i="41"/>
  <c r="I26" i="41"/>
  <c r="L28" i="41"/>
  <c r="M28" i="41" s="1"/>
  <c r="K28" i="41"/>
  <c r="I14" i="41"/>
  <c r="I25" i="41"/>
  <c r="I11" i="41"/>
  <c r="I31" i="41"/>
  <c r="J15" i="41"/>
  <c r="G13" i="41"/>
  <c r="H13" i="41" s="1"/>
  <c r="G12" i="41"/>
  <c r="H12" i="41" s="1"/>
  <c r="Y22" i="41" l="1"/>
  <c r="V22" i="41"/>
  <c r="O21" i="45"/>
  <c r="S21" i="45"/>
  <c r="W21" i="45"/>
  <c r="AA21" i="45"/>
  <c r="V21" i="45"/>
  <c r="P21" i="45"/>
  <c r="T21" i="45"/>
  <c r="X21" i="45"/>
  <c r="AB21" i="45"/>
  <c r="Z21" i="45"/>
  <c r="Q21" i="45"/>
  <c r="U21" i="45"/>
  <c r="Y21" i="45"/>
  <c r="R21" i="45"/>
  <c r="Q22" i="45"/>
  <c r="U22" i="45"/>
  <c r="Y22" i="45"/>
  <c r="T22" i="45"/>
  <c r="R22" i="45"/>
  <c r="V22" i="45"/>
  <c r="Z22" i="45"/>
  <c r="X22" i="45"/>
  <c r="O22" i="45"/>
  <c r="S22" i="45"/>
  <c r="W22" i="45"/>
  <c r="AA22" i="45"/>
  <c r="P22" i="45"/>
  <c r="AB22" i="45"/>
  <c r="Q26" i="45"/>
  <c r="U26" i="45"/>
  <c r="Y26" i="45"/>
  <c r="T26" i="45"/>
  <c r="R26" i="45"/>
  <c r="V26" i="45"/>
  <c r="Z26" i="45"/>
  <c r="X26" i="45"/>
  <c r="O26" i="45"/>
  <c r="S26" i="45"/>
  <c r="W26" i="45"/>
  <c r="AA26" i="45"/>
  <c r="P26" i="45"/>
  <c r="AB26" i="45"/>
  <c r="Q20" i="45"/>
  <c r="U20" i="45"/>
  <c r="Y20" i="45"/>
  <c r="X20" i="45"/>
  <c r="R20" i="45"/>
  <c r="V20" i="45"/>
  <c r="Z20" i="45"/>
  <c r="P20" i="45"/>
  <c r="AB20" i="45"/>
  <c r="O20" i="45"/>
  <c r="S20" i="45"/>
  <c r="W20" i="45"/>
  <c r="AA20" i="45"/>
  <c r="T20" i="45"/>
  <c r="O31" i="45"/>
  <c r="S31" i="45"/>
  <c r="W31" i="45"/>
  <c r="AA31" i="45"/>
  <c r="Z31" i="45"/>
  <c r="P31" i="45"/>
  <c r="T31" i="45"/>
  <c r="X31" i="45"/>
  <c r="AB31" i="45"/>
  <c r="R31" i="45"/>
  <c r="V31" i="45"/>
  <c r="Q31" i="45"/>
  <c r="U31" i="45"/>
  <c r="Y31" i="45"/>
  <c r="O15" i="45"/>
  <c r="S15" i="45"/>
  <c r="W15" i="45"/>
  <c r="AA15" i="45"/>
  <c r="Z15" i="45"/>
  <c r="P15" i="45"/>
  <c r="T15" i="45"/>
  <c r="X15" i="45"/>
  <c r="AB15" i="45"/>
  <c r="V15" i="45"/>
  <c r="Q15" i="45"/>
  <c r="U15" i="45"/>
  <c r="Y15" i="45"/>
  <c r="R15" i="45"/>
  <c r="Q12" i="45"/>
  <c r="U12" i="45"/>
  <c r="Y12" i="45"/>
  <c r="P12" i="45"/>
  <c r="T12" i="45"/>
  <c r="X12" i="45"/>
  <c r="R12" i="45"/>
  <c r="V12" i="45"/>
  <c r="Z12" i="45"/>
  <c r="AB12" i="45"/>
  <c r="O12" i="45"/>
  <c r="S12" i="45"/>
  <c r="W12" i="45"/>
  <c r="AA12" i="45"/>
  <c r="Q28" i="45"/>
  <c r="U28" i="45"/>
  <c r="Y28" i="45"/>
  <c r="P28" i="45"/>
  <c r="AB28" i="45"/>
  <c r="R28" i="45"/>
  <c r="V28" i="45"/>
  <c r="Z28" i="45"/>
  <c r="T28" i="45"/>
  <c r="O28" i="45"/>
  <c r="S28" i="45"/>
  <c r="W28" i="45"/>
  <c r="AA28" i="45"/>
  <c r="X28" i="45"/>
  <c r="O11" i="45"/>
  <c r="S11" i="45"/>
  <c r="W11" i="45"/>
  <c r="AA11" i="45"/>
  <c r="R11" i="45"/>
  <c r="P11" i="45"/>
  <c r="T11" i="45"/>
  <c r="X11" i="45"/>
  <c r="AB11" i="45"/>
  <c r="Z11" i="45"/>
  <c r="Q11" i="45"/>
  <c r="U11" i="45"/>
  <c r="Y11" i="45"/>
  <c r="V11" i="45"/>
  <c r="O27" i="45"/>
  <c r="S27" i="45"/>
  <c r="W27" i="45"/>
  <c r="AA27" i="45"/>
  <c r="R27" i="45"/>
  <c r="P27" i="45"/>
  <c r="T27" i="45"/>
  <c r="X27" i="45"/>
  <c r="AB27" i="45"/>
  <c r="Z27" i="45"/>
  <c r="Q27" i="45"/>
  <c r="U27" i="45"/>
  <c r="Y27" i="45"/>
  <c r="V27" i="45"/>
  <c r="V20" i="41"/>
  <c r="AB20" i="41"/>
  <c r="Z20" i="41"/>
  <c r="I10" i="45"/>
  <c r="J10" i="45"/>
  <c r="L10" i="45" s="1"/>
  <c r="U22" i="41"/>
  <c r="Y20" i="41"/>
  <c r="X20" i="41"/>
  <c r="AA20" i="41"/>
  <c r="T22" i="41"/>
  <c r="Z22" i="41"/>
  <c r="AB22" i="41"/>
  <c r="X22" i="41"/>
  <c r="AA22" i="41"/>
  <c r="H10" i="41"/>
  <c r="J10" i="41" s="1"/>
  <c r="T28" i="41"/>
  <c r="O28" i="41"/>
  <c r="S28" i="41"/>
  <c r="W28" i="41"/>
  <c r="AA28" i="41"/>
  <c r="P28" i="41"/>
  <c r="X28" i="41"/>
  <c r="AB28" i="41"/>
  <c r="Q28" i="41"/>
  <c r="U28" i="41"/>
  <c r="Y28" i="41"/>
  <c r="R28" i="41"/>
  <c r="V28" i="41"/>
  <c r="Z28" i="41"/>
  <c r="L26" i="41"/>
  <c r="M26" i="41" s="1"/>
  <c r="K26" i="41"/>
  <c r="L11" i="41"/>
  <c r="M11" i="41" s="1"/>
  <c r="K11" i="41"/>
  <c r="L14" i="41"/>
  <c r="M14" i="41" s="1"/>
  <c r="K14" i="41"/>
  <c r="L31" i="41"/>
  <c r="M31" i="41" s="1"/>
  <c r="K31" i="41"/>
  <c r="L25" i="41"/>
  <c r="M25" i="41" s="1"/>
  <c r="K25" i="41"/>
  <c r="I15" i="41"/>
  <c r="J13" i="41"/>
  <c r="J12" i="41"/>
  <c r="T26" i="41" l="1"/>
  <c r="M10" i="45"/>
  <c r="K10" i="45"/>
  <c r="L10" i="41"/>
  <c r="M10" i="41" s="1"/>
  <c r="O10" i="41" s="1"/>
  <c r="K10" i="41"/>
  <c r="I10" i="41"/>
  <c r="T25" i="41"/>
  <c r="T31" i="41"/>
  <c r="T14" i="41"/>
  <c r="T11" i="41"/>
  <c r="P26" i="41"/>
  <c r="X26" i="41"/>
  <c r="AB26" i="41"/>
  <c r="R26" i="41"/>
  <c r="Z26" i="41"/>
  <c r="O26" i="41"/>
  <c r="W26" i="41"/>
  <c r="Q26" i="41"/>
  <c r="U26" i="41"/>
  <c r="Y26" i="41"/>
  <c r="V26" i="41"/>
  <c r="S26" i="41"/>
  <c r="AA26" i="41"/>
  <c r="O25" i="41"/>
  <c r="S25" i="41"/>
  <c r="W25" i="41"/>
  <c r="AA25" i="41"/>
  <c r="P25" i="41"/>
  <c r="X25" i="41"/>
  <c r="AB25" i="41"/>
  <c r="Q25" i="41"/>
  <c r="U25" i="41"/>
  <c r="Y25" i="41"/>
  <c r="R25" i="41"/>
  <c r="V25" i="41"/>
  <c r="Z25" i="41"/>
  <c r="O14" i="41"/>
  <c r="S14" i="41"/>
  <c r="W14" i="41"/>
  <c r="AA14" i="41"/>
  <c r="P14" i="41"/>
  <c r="X14" i="41"/>
  <c r="AB14" i="41"/>
  <c r="Q14" i="41"/>
  <c r="U14" i="41"/>
  <c r="Y14" i="41"/>
  <c r="Z14" i="41"/>
  <c r="R14" i="41"/>
  <c r="V14" i="41"/>
  <c r="O31" i="41"/>
  <c r="S31" i="41"/>
  <c r="W31" i="41"/>
  <c r="AA31" i="41"/>
  <c r="Q31" i="41"/>
  <c r="U31" i="41"/>
  <c r="Y31" i="41"/>
  <c r="AB31" i="41"/>
  <c r="V31" i="41"/>
  <c r="P31" i="41"/>
  <c r="X31" i="41"/>
  <c r="R31" i="41"/>
  <c r="Z31" i="41"/>
  <c r="O11" i="41"/>
  <c r="S11" i="41"/>
  <c r="W11" i="41"/>
  <c r="AA11" i="41"/>
  <c r="P11" i="41"/>
  <c r="X11" i="41"/>
  <c r="AB11" i="41"/>
  <c r="Q11" i="41"/>
  <c r="U11" i="41"/>
  <c r="Y11" i="41"/>
  <c r="R11" i="41"/>
  <c r="V11" i="41"/>
  <c r="Z11" i="41"/>
  <c r="L15" i="41"/>
  <c r="M15" i="41" s="1"/>
  <c r="K15" i="41"/>
  <c r="I13" i="41"/>
  <c r="I12" i="41"/>
  <c r="Z10" i="45" l="1"/>
  <c r="AA10" i="45"/>
  <c r="V10" i="45"/>
  <c r="R10" i="45"/>
  <c r="X10" i="45"/>
  <c r="P10" i="45"/>
  <c r="Y10" i="45"/>
  <c r="U10" i="45"/>
  <c r="Q10" i="45"/>
  <c r="W10" i="45"/>
  <c r="O10" i="45"/>
  <c r="T10" i="45"/>
  <c r="AB10" i="45"/>
  <c r="S10" i="45"/>
  <c r="X10" i="41"/>
  <c r="AA10" i="41"/>
  <c r="AB10" i="41"/>
  <c r="Z10" i="41"/>
  <c r="Y10" i="41"/>
  <c r="T10" i="41"/>
  <c r="Q10" i="41"/>
  <c r="U10" i="41"/>
  <c r="S10" i="41"/>
  <c r="W10" i="41"/>
  <c r="P10" i="41"/>
  <c r="R10" i="41"/>
  <c r="V10" i="41"/>
  <c r="T15" i="41"/>
  <c r="O15" i="41"/>
  <c r="S15" i="41"/>
  <c r="W15" i="41"/>
  <c r="AA15" i="41"/>
  <c r="P15" i="41"/>
  <c r="X15" i="41"/>
  <c r="AB15" i="41"/>
  <c r="Q15" i="41"/>
  <c r="U15" i="41"/>
  <c r="Y15" i="41"/>
  <c r="R15" i="41"/>
  <c r="V15" i="41"/>
  <c r="Z15" i="41"/>
  <c r="L13" i="41"/>
  <c r="M13" i="41" s="1"/>
  <c r="K13" i="41"/>
  <c r="L12" i="41"/>
  <c r="M12" i="41" s="1"/>
  <c r="K12" i="41"/>
  <c r="Q36" i="45" l="1"/>
  <c r="X36" i="45"/>
  <c r="Y36" i="45"/>
  <c r="V36" i="45"/>
  <c r="O36" i="45"/>
  <c r="S36" i="45"/>
  <c r="W36" i="45"/>
  <c r="P36" i="45"/>
  <c r="AA36" i="45"/>
  <c r="AB36" i="45"/>
  <c r="Z36" i="45"/>
  <c r="T36" i="45"/>
  <c r="U36" i="45"/>
  <c r="R36" i="45"/>
  <c r="T13" i="41"/>
  <c r="T12" i="41"/>
  <c r="O12" i="41"/>
  <c r="S12" i="41"/>
  <c r="W12" i="41"/>
  <c r="AA12" i="41"/>
  <c r="P12" i="41"/>
  <c r="X12" i="41"/>
  <c r="AB12" i="41"/>
  <c r="Q12" i="41"/>
  <c r="U12" i="41"/>
  <c r="Y12" i="41"/>
  <c r="Z12" i="41"/>
  <c r="R12" i="41"/>
  <c r="V12" i="41"/>
  <c r="O13" i="41"/>
  <c r="S13" i="41"/>
  <c r="W13" i="41"/>
  <c r="AA13" i="41"/>
  <c r="P13" i="41"/>
  <c r="X13" i="41"/>
  <c r="AB13" i="41"/>
  <c r="Q13" i="41"/>
  <c r="U13" i="41"/>
  <c r="Y13" i="41"/>
  <c r="R13" i="41"/>
  <c r="V13" i="41"/>
  <c r="Z13" i="41"/>
  <c r="P37" i="45" l="1"/>
  <c r="T37" i="45"/>
  <c r="X37" i="45"/>
  <c r="Q37" i="45"/>
  <c r="U37" i="45"/>
  <c r="Y37" i="45"/>
  <c r="W37" i="45"/>
  <c r="R37" i="45"/>
  <c r="V37" i="45"/>
  <c r="Q41" i="45" s="1"/>
  <c r="Z37" i="45"/>
  <c r="S37" i="45"/>
  <c r="O37" i="45"/>
  <c r="T34" i="41"/>
  <c r="AA34" i="41"/>
  <c r="V34" i="41"/>
  <c r="Z34" i="41"/>
  <c r="Y34" i="41"/>
  <c r="P34" i="41"/>
  <c r="W34" i="41"/>
  <c r="U34" i="41"/>
  <c r="AB34" i="41"/>
  <c r="S34" i="41"/>
  <c r="R34" i="41"/>
  <c r="Q34" i="41"/>
  <c r="X34" i="41"/>
  <c r="O34" i="41"/>
  <c r="Q35" i="41" l="1"/>
  <c r="U35" i="41"/>
  <c r="Y35" i="41"/>
  <c r="X35" i="41"/>
  <c r="R35" i="41"/>
  <c r="V35" i="41"/>
  <c r="Q39" i="41" s="1"/>
  <c r="Z35" i="41"/>
  <c r="S35" i="41"/>
  <c r="W35" i="41"/>
  <c r="T35" i="41"/>
  <c r="P35" i="41"/>
  <c r="O35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859365-A97F-4B62-B867-4B8F4C0BDC99}" keepAlive="1" name="Abfrage - Parish_house_1_model_20231025" description="Verbindung mit der Abfrage 'Parish_house_1_model_20231025' in der Arbeitsmappe." type="5" refreshedVersion="0" background="1" saveData="1">
    <dbPr connection="Provider=Microsoft.Mashup.OleDb.1;Data Source=$Workbook$;Location=Parish_house_1_model_20231025;Extended Properties=&quot;&quot;" command="SELECT * FROM [Parish_house_1_model_20231025]"/>
  </connection>
</connections>
</file>

<file path=xl/sharedStrings.xml><?xml version="1.0" encoding="utf-8"?>
<sst xmlns="http://schemas.openxmlformats.org/spreadsheetml/2006/main" count="525" uniqueCount="168">
  <si>
    <t>Location:</t>
  </si>
  <si>
    <t>Parish House, Petrinja, Croatia</t>
  </si>
  <si>
    <t>Date:</t>
  </si>
  <si>
    <t>Item:</t>
  </si>
  <si>
    <t>Lx [m]</t>
  </si>
  <si>
    <t>Ly [m]</t>
  </si>
  <si>
    <t>Total mass [kg]</t>
  </si>
  <si>
    <t>Material parameters:</t>
  </si>
  <si>
    <t>Material parameters</t>
  </si>
  <si>
    <t>Charactersistic</t>
  </si>
  <si>
    <t>Symbol</t>
  </si>
  <si>
    <t>Unit</t>
  </si>
  <si>
    <t>Young's modulus</t>
  </si>
  <si>
    <t>Wall part</t>
  </si>
  <si>
    <t>Masonry</t>
  </si>
  <si>
    <t>E</t>
  </si>
  <si>
    <t>Pa</t>
  </si>
  <si>
    <t>Shear modulus</t>
  </si>
  <si>
    <t>G</t>
  </si>
  <si>
    <t>Poisson's ratio</t>
  </si>
  <si>
    <t>ν</t>
  </si>
  <si>
    <t>-</t>
  </si>
  <si>
    <t>Compressive strength</t>
  </si>
  <si>
    <r>
      <t>f</t>
    </r>
    <r>
      <rPr>
        <vertAlign val="subscript"/>
        <sz val="11"/>
        <color theme="1"/>
        <rFont val="Arial"/>
        <family val="2"/>
        <scheme val="minor"/>
      </rPr>
      <t>c,M</t>
    </r>
  </si>
  <si>
    <t>Brick</t>
  </si>
  <si>
    <r>
      <t>f</t>
    </r>
    <r>
      <rPr>
        <vertAlign val="subscript"/>
        <sz val="11"/>
        <color theme="1"/>
        <rFont val="Arial"/>
        <family val="2"/>
        <scheme val="minor"/>
      </rPr>
      <t>c,b</t>
    </r>
  </si>
  <si>
    <t>Mortar</t>
  </si>
  <si>
    <r>
      <t>f</t>
    </r>
    <r>
      <rPr>
        <vertAlign val="subscript"/>
        <sz val="11"/>
        <color theme="1"/>
        <rFont val="Arial"/>
        <family val="2"/>
        <scheme val="minor"/>
      </rPr>
      <t>c,m</t>
    </r>
  </si>
  <si>
    <t>Cohesion</t>
  </si>
  <si>
    <t>Interface</t>
  </si>
  <si>
    <t>c</t>
  </si>
  <si>
    <t>Coefficient of friction</t>
  </si>
  <si>
    <t>μ</t>
  </si>
  <si>
    <t>Exact value</t>
  </si>
  <si>
    <t>Rounded value</t>
  </si>
  <si>
    <t>N</t>
  </si>
  <si>
    <t>Wall 1</t>
  </si>
  <si>
    <t>Wall 2</t>
  </si>
  <si>
    <t>Wall 3</t>
  </si>
  <si>
    <t>Wall 4</t>
  </si>
  <si>
    <t>Wall 5</t>
  </si>
  <si>
    <t>Wall 6</t>
  </si>
  <si>
    <t>Wall 7</t>
  </si>
  <si>
    <t>Wall 8</t>
  </si>
  <si>
    <t>Wall 9</t>
  </si>
  <si>
    <t>Wall 10</t>
  </si>
  <si>
    <t xml:space="preserve"> </t>
  </si>
  <si>
    <t>Node</t>
  </si>
  <si>
    <t>Floor 1</t>
  </si>
  <si>
    <r>
      <t>A [m</t>
    </r>
    <r>
      <rPr>
        <b/>
        <vertAlign val="superscript"/>
        <sz val="11"/>
        <color theme="3"/>
        <rFont val="Arial"/>
        <family val="2"/>
        <scheme val="minor"/>
      </rPr>
      <t>2</t>
    </r>
    <r>
      <rPr>
        <b/>
        <sz val="11"/>
        <color theme="3"/>
        <rFont val="Arial"/>
        <family val="2"/>
        <scheme val="minor"/>
      </rPr>
      <t>]</t>
    </r>
  </si>
  <si>
    <t>Floor 2</t>
  </si>
  <si>
    <r>
      <t>Additional surface [m</t>
    </r>
    <r>
      <rPr>
        <b/>
        <vertAlign val="superscript"/>
        <sz val="11"/>
        <color theme="3"/>
        <rFont val="Arial"/>
        <family val="2"/>
        <scheme val="minor"/>
      </rPr>
      <t>2</t>
    </r>
    <r>
      <rPr>
        <b/>
        <sz val="11"/>
        <color theme="3"/>
        <rFont val="Arial"/>
        <family val="2"/>
        <scheme val="minor"/>
      </rPr>
      <t>]</t>
    </r>
  </si>
  <si>
    <t>Vault or Fert</t>
  </si>
  <si>
    <r>
      <t>Surface load [kg/m</t>
    </r>
    <r>
      <rPr>
        <b/>
        <vertAlign val="superscript"/>
        <sz val="11"/>
        <color theme="3"/>
        <rFont val="Arial"/>
        <family val="2"/>
        <scheme val="minor"/>
      </rPr>
      <t>2</t>
    </r>
    <r>
      <rPr>
        <b/>
        <sz val="11"/>
        <color theme="3"/>
        <rFont val="Arial"/>
        <family val="2"/>
        <scheme val="minor"/>
      </rPr>
      <t>]</t>
    </r>
  </si>
  <si>
    <t>Total load [N]</t>
  </si>
  <si>
    <t>Fert</t>
  </si>
  <si>
    <t>Vault</t>
  </si>
  <si>
    <t>Floor loads for self weight file</t>
  </si>
  <si>
    <t>Roof  loads for self weight file</t>
  </si>
  <si>
    <t>Filling material  loads for self weight file</t>
  </si>
  <si>
    <t>Sum of modelled loads</t>
  </si>
  <si>
    <t>Fictitious nodes</t>
  </si>
  <si>
    <t>Assigned node*</t>
  </si>
  <si>
    <t>* Real node to which the load coming from the filling mass is assigned to for the case of fictitious nodes</t>
  </si>
  <si>
    <t>Elastic</t>
  </si>
  <si>
    <t>Total load</t>
  </si>
  <si>
    <t>Type of value</t>
  </si>
  <si>
    <t>Mean</t>
  </si>
  <si>
    <t>Masonry: Chosen values</t>
  </si>
  <si>
    <t>Masonry: Derived values EC 1996</t>
  </si>
  <si>
    <t>Initial shear strength</t>
  </si>
  <si>
    <t>Characteristic</t>
  </si>
  <si>
    <r>
      <t>f</t>
    </r>
    <r>
      <rPr>
        <vertAlign val="subscript"/>
        <sz val="11"/>
        <color theme="1"/>
        <rFont val="Arial"/>
        <family val="2"/>
        <scheme val="minor"/>
      </rPr>
      <t>vk0</t>
    </r>
  </si>
  <si>
    <r>
      <t>f</t>
    </r>
    <r>
      <rPr>
        <vertAlign val="subscript"/>
        <sz val="11"/>
        <color theme="1"/>
        <rFont val="Arial"/>
        <family val="2"/>
        <scheme val="minor"/>
      </rPr>
      <t>vm0</t>
    </r>
  </si>
  <si>
    <t>Source</t>
  </si>
  <si>
    <t>NTC</t>
  </si>
  <si>
    <t>Lourenço</t>
  </si>
  <si>
    <t>EC 1996-1-1 Table 5.4</t>
  </si>
  <si>
    <t>EC1996-1-1 K.3.2.2</t>
  </si>
  <si>
    <t>Pier number</t>
  </si>
  <si>
    <t>Base node</t>
  </si>
  <si>
    <t>Top node</t>
  </si>
  <si>
    <t>Dimensions OpenSees</t>
  </si>
  <si>
    <t>Dimensions for pushover</t>
  </si>
  <si>
    <t>[m]</t>
  </si>
  <si>
    <t>76/77</t>
  </si>
  <si>
    <t>84/85</t>
  </si>
  <si>
    <t>Members failing in flexure</t>
  </si>
  <si>
    <t>Selfweight of element</t>
  </si>
  <si>
    <t>[N]</t>
  </si>
  <si>
    <t>Material density</t>
  </si>
  <si>
    <r>
      <t>γ</t>
    </r>
    <r>
      <rPr>
        <vertAlign val="subscript"/>
        <sz val="11"/>
        <color theme="1"/>
        <rFont val="Calibri"/>
        <family val="2"/>
      </rPr>
      <t>M</t>
    </r>
  </si>
  <si>
    <t>SIA 261</t>
  </si>
  <si>
    <t>N/m3</t>
  </si>
  <si>
    <t>Weight of floor</t>
  </si>
  <si>
    <t>Weight of roof</t>
  </si>
  <si>
    <t>Weight of filing</t>
  </si>
  <si>
    <t>Provisory total load</t>
  </si>
  <si>
    <t>H0</t>
  </si>
  <si>
    <r>
      <rPr>
        <b/>
        <sz val="11"/>
        <color theme="3"/>
        <rFont val="Calibri"/>
        <family val="2"/>
      </rPr>
      <t>η</t>
    </r>
    <r>
      <rPr>
        <b/>
        <sz val="11"/>
        <color theme="3"/>
        <rFont val="Arial"/>
        <family val="2"/>
      </rPr>
      <t>f</t>
    </r>
  </si>
  <si>
    <r>
      <t>V</t>
    </r>
    <r>
      <rPr>
        <b/>
        <vertAlign val="subscript"/>
        <sz val="11"/>
        <color theme="3"/>
        <rFont val="Arial"/>
        <family val="2"/>
        <scheme val="minor"/>
      </rPr>
      <t>fk</t>
    </r>
  </si>
  <si>
    <t>[-]</t>
  </si>
  <si>
    <r>
      <rPr>
        <b/>
        <sz val="11"/>
        <color theme="3"/>
        <rFont val="Calibri"/>
        <family val="2"/>
      </rPr>
      <t>γ</t>
    </r>
    <r>
      <rPr>
        <b/>
        <vertAlign val="subscript"/>
        <sz val="11"/>
        <color theme="3"/>
        <rFont val="Arial"/>
        <family val="2"/>
      </rPr>
      <t>Rd</t>
    </r>
  </si>
  <si>
    <r>
      <t>V</t>
    </r>
    <r>
      <rPr>
        <b/>
        <vertAlign val="subscript"/>
        <sz val="11"/>
        <color theme="3"/>
        <rFont val="Arial"/>
        <family val="2"/>
        <scheme val="minor"/>
      </rPr>
      <t>fd</t>
    </r>
  </si>
  <si>
    <t>Members failing in shear sliding</t>
  </si>
  <si>
    <r>
      <t>V</t>
    </r>
    <r>
      <rPr>
        <b/>
        <vertAlign val="subscript"/>
        <sz val="11"/>
        <color theme="3"/>
        <rFont val="Arial"/>
        <family val="2"/>
        <scheme val="minor"/>
      </rPr>
      <t>sd</t>
    </r>
  </si>
  <si>
    <r>
      <t>V</t>
    </r>
    <r>
      <rPr>
        <b/>
        <vertAlign val="subscript"/>
        <sz val="11"/>
        <color theme="3"/>
        <rFont val="Arial"/>
        <family val="2"/>
        <scheme val="minor"/>
      </rPr>
      <t>sk</t>
    </r>
  </si>
  <si>
    <r>
      <t>V</t>
    </r>
    <r>
      <rPr>
        <b/>
        <vertAlign val="subscript"/>
        <sz val="11"/>
        <color theme="3"/>
        <rFont val="Arial"/>
        <family val="2"/>
        <scheme val="minor"/>
      </rPr>
      <t>Rd</t>
    </r>
  </si>
  <si>
    <t>I</t>
  </si>
  <si>
    <t>A</t>
  </si>
  <si>
    <t>Inertia</t>
  </si>
  <si>
    <t>Section</t>
  </si>
  <si>
    <t>Ultimate</t>
  </si>
  <si>
    <t>Displacement</t>
  </si>
  <si>
    <t>Failure</t>
  </si>
  <si>
    <t>Drop</t>
  </si>
  <si>
    <r>
      <t>0.8*V</t>
    </r>
    <r>
      <rPr>
        <b/>
        <vertAlign val="subscript"/>
        <sz val="11"/>
        <color theme="3"/>
        <rFont val="Arial"/>
        <family val="2"/>
        <scheme val="minor"/>
      </rPr>
      <t>Rd</t>
    </r>
  </si>
  <si>
    <t>[kN]</t>
  </si>
  <si>
    <t>[mm]</t>
  </si>
  <si>
    <r>
      <t>δ</t>
    </r>
    <r>
      <rPr>
        <b/>
        <vertAlign val="subscript"/>
        <sz val="11"/>
        <color theme="3"/>
        <rFont val="Calibri"/>
        <family val="2"/>
      </rPr>
      <t>y</t>
    </r>
  </si>
  <si>
    <r>
      <t>[m</t>
    </r>
    <r>
      <rPr>
        <b/>
        <vertAlign val="superscript"/>
        <sz val="11"/>
        <color theme="3"/>
        <rFont val="Arial"/>
        <family val="2"/>
        <scheme val="minor"/>
      </rPr>
      <t>4</t>
    </r>
    <r>
      <rPr>
        <b/>
        <sz val="11"/>
        <color theme="3"/>
        <rFont val="Arial"/>
        <family val="2"/>
        <scheme val="minor"/>
      </rPr>
      <t>]</t>
    </r>
  </si>
  <si>
    <r>
      <t>[m</t>
    </r>
    <r>
      <rPr>
        <b/>
        <vertAlign val="superscript"/>
        <sz val="11"/>
        <color theme="3"/>
        <rFont val="Arial"/>
        <family val="2"/>
        <scheme val="minor"/>
      </rPr>
      <t>2</t>
    </r>
    <r>
      <rPr>
        <b/>
        <sz val="11"/>
        <color theme="3"/>
        <rFont val="Arial"/>
        <family val="2"/>
        <scheme val="minor"/>
      </rPr>
      <t>]</t>
    </r>
  </si>
  <si>
    <t>h [m]</t>
  </si>
  <si>
    <t>L [m]</t>
  </si>
  <si>
    <t>t [m]</t>
  </si>
  <si>
    <t xml:space="preserve">Pier geometry direction 1 </t>
  </si>
  <si>
    <t>Pier geometry direction 2</t>
  </si>
  <si>
    <t>Normal loads elements direction 1</t>
  </si>
  <si>
    <t>Piers direction X</t>
  </si>
  <si>
    <t>Piers direction Y</t>
  </si>
  <si>
    <t>From upper element</t>
  </si>
  <si>
    <t>Normal loads elements direction 2</t>
  </si>
  <si>
    <t>Max shear force elements direction 1</t>
  </si>
  <si>
    <t>Max shear force elements direction 2</t>
  </si>
  <si>
    <r>
      <t>δ</t>
    </r>
    <r>
      <rPr>
        <b/>
        <vertAlign val="subscript"/>
        <sz val="11"/>
        <color theme="3"/>
        <rFont val="Calibri"/>
        <family val="2"/>
      </rPr>
      <t>u1</t>
    </r>
  </si>
  <si>
    <t>Drift</t>
  </si>
  <si>
    <t>Displacement [mm]</t>
  </si>
  <si>
    <t>Total</t>
  </si>
  <si>
    <t>Partial factor</t>
  </si>
  <si>
    <t>Design value</t>
  </si>
  <si>
    <t>Mean value</t>
  </si>
  <si>
    <r>
      <rPr>
        <b/>
        <sz val="11"/>
        <color theme="3"/>
        <rFont val="Calibri"/>
        <family val="2"/>
      </rPr>
      <t>σ</t>
    </r>
    <r>
      <rPr>
        <b/>
        <vertAlign val="subscript"/>
        <sz val="11"/>
        <color theme="3"/>
        <rFont val="Arial"/>
        <family val="2"/>
      </rPr>
      <t>0</t>
    </r>
  </si>
  <si>
    <r>
      <t>[N/m</t>
    </r>
    <r>
      <rPr>
        <b/>
        <vertAlign val="superscript"/>
        <sz val="11"/>
        <color theme="3"/>
        <rFont val="Arial"/>
        <family val="2"/>
        <scheme val="minor"/>
      </rPr>
      <t>2</t>
    </r>
    <r>
      <rPr>
        <b/>
        <sz val="11"/>
        <color theme="3"/>
        <rFont val="Arial"/>
        <family val="2"/>
        <scheme val="minor"/>
      </rPr>
      <t>]</t>
    </r>
  </si>
  <si>
    <t>Mu</t>
  </si>
  <si>
    <t>[Nm]</t>
  </si>
  <si>
    <t>D'</t>
  </si>
  <si>
    <t>Drift limits single storey piers</t>
  </si>
  <si>
    <t>Tot pier number</t>
  </si>
  <si>
    <t>GF pier</t>
  </si>
  <si>
    <t>FF pier</t>
  </si>
  <si>
    <r>
      <t>Δ</t>
    </r>
    <r>
      <rPr>
        <vertAlign val="subscript"/>
        <sz val="11"/>
        <color theme="1"/>
        <rFont val="Arial"/>
        <family val="2"/>
        <scheme val="minor"/>
      </rPr>
      <t>y</t>
    </r>
  </si>
  <si>
    <t>Elastic drift</t>
  </si>
  <si>
    <t>Plastic drift</t>
  </si>
  <si>
    <r>
      <t>Δ</t>
    </r>
    <r>
      <rPr>
        <vertAlign val="subscript"/>
        <sz val="11"/>
        <color theme="1"/>
        <rFont val="Arial"/>
        <family val="2"/>
        <scheme val="minor"/>
      </rPr>
      <t>u</t>
    </r>
  </si>
  <si>
    <t>Effective</t>
  </si>
  <si>
    <r>
      <t>E</t>
    </r>
    <r>
      <rPr>
        <vertAlign val="subscript"/>
        <sz val="11"/>
        <color theme="1"/>
        <rFont val="Calibri"/>
        <family val="2"/>
      </rPr>
      <t>eff</t>
    </r>
  </si>
  <si>
    <r>
      <t>G</t>
    </r>
    <r>
      <rPr>
        <vertAlign val="subscript"/>
        <sz val="11"/>
        <color theme="1"/>
        <rFont val="Calibri"/>
        <family val="2"/>
      </rPr>
      <t>eff</t>
    </r>
  </si>
  <si>
    <t>Base shear</t>
  </si>
  <si>
    <t>Pushover curves double storey piers</t>
  </si>
  <si>
    <t>Base shear [kN]</t>
  </si>
  <si>
    <t>Elastic limit displacement</t>
  </si>
  <si>
    <t>mm</t>
  </si>
  <si>
    <t>Ultimate limit displacement</t>
  </si>
  <si>
    <t>Total base shear</t>
  </si>
  <si>
    <t>kN</t>
  </si>
  <si>
    <t>Min</t>
  </si>
  <si>
    <t>Author:</t>
  </si>
  <si>
    <t>Aline F. Bönzli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</si>
</sst>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%"/>
    <numFmt numFmtId="167" formatCode="0.000%"/>
    <numFmt numFmtId="168" formatCode="0.0000"/>
  </numFmts>
  <fonts count="2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vertAlign val="superscript"/>
      <sz val="11"/>
      <color theme="3"/>
      <name val="Arial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Arial"/>
      <family val="2"/>
      <scheme val="minor"/>
    </font>
    <font>
      <b/>
      <vertAlign val="subscript"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4"/>
      <color theme="1"/>
      <name val="Arial"/>
      <family val="2"/>
      <scheme val="minor"/>
    </font>
    <font>
      <vertAlign val="subscript"/>
      <sz val="11"/>
      <color theme="1"/>
      <name val="Calibri"/>
      <family val="2"/>
    </font>
    <font>
      <i/>
      <sz val="11"/>
      <color theme="2"/>
      <name val="Arial"/>
      <family val="2"/>
      <scheme val="minor"/>
    </font>
    <font>
      <b/>
      <i/>
      <sz val="11"/>
      <color theme="2"/>
      <name val="Arial"/>
      <family val="2"/>
      <scheme val="minor"/>
    </font>
    <font>
      <b/>
      <sz val="11"/>
      <color theme="3"/>
      <name val="Calibri"/>
      <family val="2"/>
    </font>
    <font>
      <b/>
      <sz val="11"/>
      <color theme="3"/>
      <name val="Arial"/>
      <family val="2"/>
    </font>
    <font>
      <b/>
      <vertAlign val="subscript"/>
      <sz val="11"/>
      <color theme="3"/>
      <name val="Arial"/>
      <family val="2"/>
    </font>
    <font>
      <b/>
      <vertAlign val="subscript"/>
      <sz val="11"/>
      <color theme="3"/>
      <name val="Calibri"/>
      <family val="2"/>
    </font>
    <font>
      <b/>
      <sz val="11"/>
      <color rgb="FF413D3A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6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2" borderId="0" applyNumberFormat="0" applyBorder="0" applyAlignment="0" applyProtection="0"/>
    <xf numFmtId="9" fontId="1" fillId="0" borderId="0" applyFont="0" applyFill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</cellStyleXfs>
  <cellXfs count="97">
    <xf numFmtId="0" fontId="0" fillId="0" borderId="0" xfId="0"/>
    <xf numFmtId="2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0" borderId="2" xfId="2" applyAlignment="1"/>
    <xf numFmtId="0" fontId="3" fillId="0" borderId="2" xfId="2" applyAlignment="1">
      <alignment wrapText="1"/>
    </xf>
    <xf numFmtId="2" fontId="0" fillId="0" borderId="0" xfId="0" applyNumberFormat="1" applyAlignment="1">
      <alignment vertical="center"/>
    </xf>
    <xf numFmtId="165" fontId="0" fillId="0" borderId="0" xfId="0" applyNumberFormat="1"/>
    <xf numFmtId="1" fontId="0" fillId="0" borderId="0" xfId="0" applyNumberFormat="1"/>
    <xf numFmtId="0" fontId="6" fillId="0" borderId="0" xfId="0" applyFont="1"/>
    <xf numFmtId="9" fontId="0" fillId="0" borderId="0" xfId="4" applyFont="1"/>
    <xf numFmtId="0" fontId="2" fillId="0" borderId="1" xfId="1" applyAlignment="1">
      <alignment vertical="center"/>
    </xf>
    <xf numFmtId="0" fontId="3" fillId="0" borderId="2" xfId="2"/>
    <xf numFmtId="165" fontId="4" fillId="0" borderId="0" xfId="0" applyNumberFormat="1" applyFont="1"/>
    <xf numFmtId="0" fontId="9" fillId="4" borderId="0" xfId="6"/>
    <xf numFmtId="165" fontId="3" fillId="0" borderId="2" xfId="2" applyNumberFormat="1"/>
    <xf numFmtId="165" fontId="9" fillId="3" borderId="0" xfId="5" applyNumberFormat="1"/>
    <xf numFmtId="0" fontId="9" fillId="3" borderId="0" xfId="5"/>
    <xf numFmtId="165" fontId="3" fillId="0" borderId="3" xfId="2" applyNumberFormat="1" applyBorder="1"/>
    <xf numFmtId="0" fontId="3" fillId="0" borderId="3" xfId="2" applyBorder="1"/>
    <xf numFmtId="165" fontId="10" fillId="4" borderId="0" xfId="6" applyNumberFormat="1" applyFont="1"/>
    <xf numFmtId="165" fontId="10" fillId="3" borderId="0" xfId="5" applyNumberFormat="1" applyFont="1"/>
    <xf numFmtId="0" fontId="11" fillId="5" borderId="0" xfId="0" applyFont="1" applyFill="1"/>
    <xf numFmtId="0" fontId="4" fillId="5" borderId="0" xfId="3" applyFont="1" applyFill="1" applyAlignment="1">
      <alignment vertical="center"/>
    </xf>
    <xf numFmtId="165" fontId="3" fillId="0" borderId="0" xfId="2" applyNumberFormat="1" applyBorder="1"/>
    <xf numFmtId="0" fontId="3" fillId="0" borderId="0" xfId="2" applyBorder="1" applyAlignment="1">
      <alignment horizontal="center"/>
    </xf>
    <xf numFmtId="9" fontId="0" fillId="0" borderId="0" xfId="0" applyNumberFormat="1"/>
    <xf numFmtId="0" fontId="13" fillId="4" borderId="0" xfId="6" applyFont="1"/>
    <xf numFmtId="0" fontId="13" fillId="0" borderId="0" xfId="0" applyFont="1"/>
    <xf numFmtId="0" fontId="3" fillId="0" borderId="3" xfId="2" applyBorder="1" applyAlignment="1">
      <alignment wrapText="1"/>
    </xf>
    <xf numFmtId="165" fontId="3" fillId="0" borderId="4" xfId="2" applyNumberFormat="1" applyBorder="1"/>
    <xf numFmtId="0" fontId="3" fillId="0" borderId="4" xfId="2" applyBorder="1" applyAlignment="1">
      <alignment wrapText="1"/>
    </xf>
    <xf numFmtId="0" fontId="15" fillId="0" borderId="0" xfId="2" applyFont="1" applyBorder="1" applyAlignment="1">
      <alignment horizontal="center"/>
    </xf>
    <xf numFmtId="0" fontId="16" fillId="0" borderId="0" xfId="2" applyFont="1" applyBorder="1" applyAlignment="1">
      <alignment horizontal="center"/>
    </xf>
    <xf numFmtId="0" fontId="3" fillId="0" borderId="3" xfId="2" applyBorder="1" applyAlignment="1"/>
    <xf numFmtId="0" fontId="3" fillId="0" borderId="0" xfId="2" applyBorder="1" applyAlignment="1">
      <alignment horizontal="left"/>
    </xf>
    <xf numFmtId="0" fontId="3" fillId="0" borderId="0" xfId="2" applyFill="1" applyBorder="1" applyAlignment="1">
      <alignment horizontal="center"/>
    </xf>
    <xf numFmtId="166" fontId="0" fillId="0" borderId="0" xfId="4" applyNumberFormat="1" applyFont="1"/>
    <xf numFmtId="0" fontId="0" fillId="0" borderId="0" xfId="0" applyAlignment="1">
      <alignment wrapText="1"/>
    </xf>
    <xf numFmtId="165" fontId="10" fillId="6" borderId="0" xfId="6" applyNumberFormat="1" applyFont="1" applyFill="1"/>
    <xf numFmtId="0" fontId="4" fillId="0" borderId="0" xfId="0" applyFont="1"/>
    <xf numFmtId="165" fontId="14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165" fontId="3" fillId="0" borderId="0" xfId="0" applyNumberFormat="1" applyFont="1"/>
    <xf numFmtId="0" fontId="15" fillId="0" borderId="0" xfId="0" applyFont="1"/>
    <xf numFmtId="1" fontId="3" fillId="0" borderId="0" xfId="0" applyNumberFormat="1" applyFont="1"/>
    <xf numFmtId="14" fontId="0" fillId="0" borderId="0" xfId="0" applyNumberFormat="1" applyAlignment="1">
      <alignment horizontal="left" vertical="center"/>
    </xf>
    <xf numFmtId="0" fontId="0" fillId="0" borderId="5" xfId="0" applyBorder="1" applyAlignment="1">
      <alignment vertical="center"/>
    </xf>
    <xf numFmtId="0" fontId="6" fillId="0" borderId="5" xfId="0" applyFont="1" applyBorder="1"/>
    <xf numFmtId="11" fontId="0" fillId="0" borderId="5" xfId="0" applyNumberFormat="1" applyBorder="1"/>
    <xf numFmtId="1" fontId="0" fillId="0" borderId="6" xfId="0" applyNumberFormat="1" applyBorder="1"/>
    <xf numFmtId="164" fontId="0" fillId="0" borderId="6" xfId="0" applyNumberFormat="1" applyBorder="1"/>
    <xf numFmtId="1" fontId="0" fillId="0" borderId="6" xfId="0" applyNumberFormat="1" applyBorder="1" applyAlignment="1">
      <alignment horizontal="right"/>
    </xf>
    <xf numFmtId="2" fontId="0" fillId="0" borderId="6" xfId="0" applyNumberFormat="1" applyBorder="1" applyAlignment="1">
      <alignment horizontal="right"/>
    </xf>
    <xf numFmtId="2" fontId="0" fillId="0" borderId="6" xfId="0" applyNumberFormat="1" applyBorder="1"/>
    <xf numFmtId="1" fontId="13" fillId="0" borderId="0" xfId="0" applyNumberFormat="1" applyFont="1"/>
    <xf numFmtId="1" fontId="13" fillId="0" borderId="6" xfId="0" applyNumberFormat="1" applyFont="1" applyBorder="1"/>
    <xf numFmtId="1" fontId="13" fillId="0" borderId="6" xfId="0" applyNumberFormat="1" applyFont="1" applyBorder="1" applyAlignment="1">
      <alignment horizontal="right"/>
    </xf>
    <xf numFmtId="165" fontId="3" fillId="0" borderId="3" xfId="2" applyNumberFormat="1" applyBorder="1" applyAlignment="1">
      <alignment wrapText="1"/>
    </xf>
    <xf numFmtId="0" fontId="14" fillId="0" borderId="3" xfId="2" applyFont="1" applyBorder="1" applyAlignment="1">
      <alignment wrapText="1"/>
    </xf>
    <xf numFmtId="165" fontId="3" fillId="0" borderId="4" xfId="2" applyNumberFormat="1" applyBorder="1" applyAlignment="1">
      <alignment wrapText="1"/>
    </xf>
    <xf numFmtId="0" fontId="14" fillId="0" borderId="4" xfId="2" applyFont="1" applyBorder="1" applyAlignment="1">
      <alignment wrapText="1"/>
    </xf>
    <xf numFmtId="0" fontId="0" fillId="0" borderId="6" xfId="0" applyBorder="1"/>
    <xf numFmtId="0" fontId="0" fillId="0" borderId="0" xfId="0" applyAlignment="1">
      <alignment horizontal="left"/>
    </xf>
    <xf numFmtId="167" fontId="0" fillId="0" borderId="6" xfId="4" applyNumberFormat="1" applyFont="1" applyBorder="1"/>
    <xf numFmtId="166" fontId="0" fillId="0" borderId="6" xfId="4" applyNumberFormat="1" applyFont="1" applyBorder="1"/>
    <xf numFmtId="168" fontId="0" fillId="0" borderId="6" xfId="0" applyNumberFormat="1" applyBorder="1"/>
    <xf numFmtId="0" fontId="3" fillId="0" borderId="6" xfId="0" applyFont="1" applyBorder="1"/>
    <xf numFmtId="165" fontId="0" fillId="0" borderId="6" xfId="0" applyNumberFormat="1" applyBorder="1"/>
    <xf numFmtId="165" fontId="3" fillId="0" borderId="4" xfId="2" applyNumberFormat="1" applyBorder="1" applyAlignment="1"/>
    <xf numFmtId="0" fontId="16" fillId="0" borderId="0" xfId="2" applyFont="1" applyFill="1" applyBorder="1" applyAlignment="1">
      <alignment horizontal="center"/>
    </xf>
    <xf numFmtId="165" fontId="0" fillId="0" borderId="0" xfId="0" applyNumberFormat="1" applyAlignment="1">
      <alignment vertical="center"/>
    </xf>
    <xf numFmtId="9" fontId="0" fillId="0" borderId="0" xfId="4" applyFont="1" applyAlignment="1">
      <alignment vertical="center"/>
    </xf>
    <xf numFmtId="2" fontId="0" fillId="0" borderId="0" xfId="4" applyNumberFormat="1" applyFont="1" applyAlignment="1">
      <alignment vertical="center"/>
    </xf>
    <xf numFmtId="0" fontId="0" fillId="0" borderId="5" xfId="0" applyBorder="1"/>
    <xf numFmtId="165" fontId="0" fillId="0" borderId="5" xfId="0" applyNumberFormat="1" applyBorder="1"/>
    <xf numFmtId="0" fontId="0" fillId="0" borderId="7" xfId="0" applyBorder="1"/>
    <xf numFmtId="165" fontId="0" fillId="0" borderId="9" xfId="0" applyNumberFormat="1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165" fontId="0" fillId="0" borderId="14" xfId="0" applyNumberFormat="1" applyBorder="1"/>
    <xf numFmtId="0" fontId="0" fillId="0" borderId="14" xfId="0" applyBorder="1"/>
    <xf numFmtId="0" fontId="0" fillId="0" borderId="15" xfId="0" applyBorder="1"/>
    <xf numFmtId="165" fontId="3" fillId="0" borderId="8" xfId="0" applyNumberFormat="1" applyFont="1" applyBorder="1"/>
    <xf numFmtId="165" fontId="3" fillId="0" borderId="11" xfId="0" applyNumberFormat="1" applyFont="1" applyBorder="1"/>
    <xf numFmtId="165" fontId="3" fillId="0" borderId="13" xfId="0" applyNumberFormat="1" applyFont="1" applyBorder="1"/>
    <xf numFmtId="165" fontId="0" fillId="0" borderId="7" xfId="0" applyNumberFormat="1" applyBorder="1"/>
    <xf numFmtId="0" fontId="19" fillId="0" borderId="0" xfId="0" applyFont="1"/>
    <xf numFmtId="0" fontId="11" fillId="5" borderId="0" xfId="0" applyFont="1" applyFill="1"/>
    <xf numFmtId="14" fontId="0" fillId="0" borderId="0" xfId="0" applyNumberFormat="1" applyAlignment="1">
      <alignment horizontal="left" vertical="center"/>
    </xf>
    <xf numFmtId="0" fontId="3" fillId="0" borderId="3" xfId="2" applyBorder="1" applyAlignment="1">
      <alignment horizontal="center" wrapText="1"/>
    </xf>
    <xf numFmtId="0" fontId="3" fillId="0" borderId="0" xfId="2" applyBorder="1" applyAlignment="1">
      <alignment horizontal="center"/>
    </xf>
    <xf numFmtId="165" fontId="3" fillId="0" borderId="4" xfId="2" applyNumberFormat="1" applyBorder="1" applyAlignment="1">
      <alignment horizontal="center" wrapText="1"/>
    </xf>
  </cellXfs>
  <cellStyles count="7">
    <cellStyle name="40 % - Akzent1" xfId="3" builtinId="31"/>
    <cellStyle name="Akzent1" xfId="5" builtinId="29"/>
    <cellStyle name="Akzent3" xfId="6" builtinId="37"/>
    <cellStyle name="Prozent" xfId="4" builtinId="5"/>
    <cellStyle name="Standard" xfId="0" builtinId="0"/>
    <cellStyle name="Überschrift 2" xfId="1" builtinId="17"/>
    <cellStyle name="Überschrift 3" xfId="2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'Pushover Curve_1'!$N$10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Curve_1'!$O$10:$AB$10</c:f>
              <c:numCache>
                <c:formatCode>0.0</c:formatCode>
                <c:ptCount val="14"/>
                <c:pt idx="0">
                  <c:v>0</c:v>
                </c:pt>
                <c:pt idx="1">
                  <c:v>43.539164034771936</c:v>
                </c:pt>
                <c:pt idx="2">
                  <c:v>43.539164034771936</c:v>
                </c:pt>
                <c:pt idx="3">
                  <c:v>43.539164034771936</c:v>
                </c:pt>
                <c:pt idx="4">
                  <c:v>43.539164034771936</c:v>
                </c:pt>
                <c:pt idx="5">
                  <c:v>43.539164034771936</c:v>
                </c:pt>
                <c:pt idx="6">
                  <c:v>43.539164034771936</c:v>
                </c:pt>
                <c:pt idx="7">
                  <c:v>43.539164034771936</c:v>
                </c:pt>
                <c:pt idx="8">
                  <c:v>43.539164034771936</c:v>
                </c:pt>
                <c:pt idx="9">
                  <c:v>43.539164034771936</c:v>
                </c:pt>
                <c:pt idx="10">
                  <c:v>43.539164034771936</c:v>
                </c:pt>
                <c:pt idx="11">
                  <c:v>43.539164034771936</c:v>
                </c:pt>
                <c:pt idx="12">
                  <c:v>43.539164034771936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E6-442F-869E-BDB746D5A70E}"/>
            </c:ext>
          </c:extLst>
        </c:ser>
        <c:ser>
          <c:idx val="1"/>
          <c:order val="1"/>
          <c:tx>
            <c:strRef>
              <c:f>'Pushover Curve_1'!$N$11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Curve_1'!$O$11:$AB$11</c:f>
              <c:numCache>
                <c:formatCode>0.0</c:formatCode>
                <c:ptCount val="14"/>
                <c:pt idx="0">
                  <c:v>0</c:v>
                </c:pt>
                <c:pt idx="1">
                  <c:v>58.462785869935828</c:v>
                </c:pt>
                <c:pt idx="2">
                  <c:v>66.257823985927274</c:v>
                </c:pt>
                <c:pt idx="3">
                  <c:v>70.155343043922997</c:v>
                </c:pt>
                <c:pt idx="4">
                  <c:v>70.155343043922997</c:v>
                </c:pt>
                <c:pt idx="5">
                  <c:v>70.155343043922997</c:v>
                </c:pt>
                <c:pt idx="6">
                  <c:v>70.155343043922997</c:v>
                </c:pt>
                <c:pt idx="7">
                  <c:v>70.155343043922997</c:v>
                </c:pt>
                <c:pt idx="8">
                  <c:v>70.155343043922997</c:v>
                </c:pt>
                <c:pt idx="9">
                  <c:v>70.155343043922997</c:v>
                </c:pt>
                <c:pt idx="10">
                  <c:v>70.155343043922997</c:v>
                </c:pt>
                <c:pt idx="11">
                  <c:v>70.155343043922997</c:v>
                </c:pt>
                <c:pt idx="12">
                  <c:v>70.155343043922997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E6-442F-869E-BDB746D5A70E}"/>
            </c:ext>
          </c:extLst>
        </c:ser>
        <c:ser>
          <c:idx val="2"/>
          <c:order val="2"/>
          <c:tx>
            <c:strRef>
              <c:f>'Pushover Curve_1'!$N$12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Curve_1'!$O$12:$AB$12</c:f>
              <c:numCache>
                <c:formatCode>0.0</c:formatCode>
                <c:ptCount val="14"/>
                <c:pt idx="0">
                  <c:v>0</c:v>
                </c:pt>
                <c:pt idx="1">
                  <c:v>5.6404508096812496</c:v>
                </c:pt>
                <c:pt idx="2">
                  <c:v>6.3925109176387487</c:v>
                </c:pt>
                <c:pt idx="3">
                  <c:v>6.7685409716174991</c:v>
                </c:pt>
                <c:pt idx="4">
                  <c:v>7.5206010795749991</c:v>
                </c:pt>
                <c:pt idx="5">
                  <c:v>7.8966311335537487</c:v>
                </c:pt>
                <c:pt idx="6">
                  <c:v>8.2726611875324991</c:v>
                </c:pt>
                <c:pt idx="7">
                  <c:v>8.6486912415112478</c:v>
                </c:pt>
                <c:pt idx="8">
                  <c:v>12.032961727319998</c:v>
                </c:pt>
                <c:pt idx="9">
                  <c:v>15.41723221312875</c:v>
                </c:pt>
                <c:pt idx="10">
                  <c:v>15.41723221312875</c:v>
                </c:pt>
                <c:pt idx="11">
                  <c:v>15.41723221312875</c:v>
                </c:pt>
                <c:pt idx="12">
                  <c:v>15.41723221312875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E6-442F-869E-BDB746D5A70E}"/>
            </c:ext>
          </c:extLst>
        </c:ser>
        <c:ser>
          <c:idx val="3"/>
          <c:order val="3"/>
          <c:tx>
            <c:strRef>
              <c:f>'Pushover Curve_1'!$N$13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Curve_1'!$O$13:$AB$13</c:f>
              <c:numCache>
                <c:formatCode>0.0</c:formatCode>
                <c:ptCount val="14"/>
                <c:pt idx="0">
                  <c:v>0</c:v>
                </c:pt>
                <c:pt idx="1">
                  <c:v>5.6404508096812496</c:v>
                </c:pt>
                <c:pt idx="2">
                  <c:v>6.3925109176387487</c:v>
                </c:pt>
                <c:pt idx="3">
                  <c:v>6.7685409716174991</c:v>
                </c:pt>
                <c:pt idx="4">
                  <c:v>7.5206010795749991</c:v>
                </c:pt>
                <c:pt idx="5">
                  <c:v>7.8966311335537487</c:v>
                </c:pt>
                <c:pt idx="6">
                  <c:v>8.2726611875324991</c:v>
                </c:pt>
                <c:pt idx="7">
                  <c:v>8.6486912415112478</c:v>
                </c:pt>
                <c:pt idx="8">
                  <c:v>12.032961727319998</c:v>
                </c:pt>
                <c:pt idx="9">
                  <c:v>15.41723221312875</c:v>
                </c:pt>
                <c:pt idx="10">
                  <c:v>15.41723221312875</c:v>
                </c:pt>
                <c:pt idx="11">
                  <c:v>15.41723221312875</c:v>
                </c:pt>
                <c:pt idx="12">
                  <c:v>15.41723221312875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E6-442F-869E-BDB746D5A70E}"/>
            </c:ext>
          </c:extLst>
        </c:ser>
        <c:ser>
          <c:idx val="4"/>
          <c:order val="4"/>
          <c:tx>
            <c:strRef>
              <c:f>'Pushover Curve_1'!$N$14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Curve_1'!$O$14:$AB$14</c:f>
              <c:numCache>
                <c:formatCode>0.0</c:formatCode>
                <c:ptCount val="14"/>
                <c:pt idx="0">
                  <c:v>0</c:v>
                </c:pt>
                <c:pt idx="1">
                  <c:v>60.917719775296554</c:v>
                </c:pt>
                <c:pt idx="2">
                  <c:v>69.040082412002761</c:v>
                </c:pt>
                <c:pt idx="3">
                  <c:v>69.040082412002761</c:v>
                </c:pt>
                <c:pt idx="4">
                  <c:v>69.040082412002761</c:v>
                </c:pt>
                <c:pt idx="5">
                  <c:v>69.040082412002761</c:v>
                </c:pt>
                <c:pt idx="6">
                  <c:v>69.040082412002761</c:v>
                </c:pt>
                <c:pt idx="7">
                  <c:v>69.040082412002761</c:v>
                </c:pt>
                <c:pt idx="8">
                  <c:v>69.040082412002761</c:v>
                </c:pt>
                <c:pt idx="9">
                  <c:v>69.040082412002761</c:v>
                </c:pt>
                <c:pt idx="10">
                  <c:v>69.040082412002761</c:v>
                </c:pt>
                <c:pt idx="11">
                  <c:v>69.040082412002761</c:v>
                </c:pt>
                <c:pt idx="12">
                  <c:v>69.040082412002761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E6-442F-869E-BDB746D5A70E}"/>
            </c:ext>
          </c:extLst>
        </c:ser>
        <c:ser>
          <c:idx val="5"/>
          <c:order val="5"/>
          <c:tx>
            <c:strRef>
              <c:f>'Pushover Curve_1'!$N$15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Curve_1'!$O$15:$AB$15</c:f>
              <c:numCache>
                <c:formatCode>0.0</c:formatCode>
                <c:ptCount val="14"/>
                <c:pt idx="0">
                  <c:v>0</c:v>
                </c:pt>
                <c:pt idx="1">
                  <c:v>42.012398616875359</c:v>
                </c:pt>
                <c:pt idx="2">
                  <c:v>42.012398616875359</c:v>
                </c:pt>
                <c:pt idx="3">
                  <c:v>42.012398616875359</c:v>
                </c:pt>
                <c:pt idx="4">
                  <c:v>42.012398616875359</c:v>
                </c:pt>
                <c:pt idx="5">
                  <c:v>42.012398616875359</c:v>
                </c:pt>
                <c:pt idx="6">
                  <c:v>42.012398616875359</c:v>
                </c:pt>
                <c:pt idx="7">
                  <c:v>42.012398616875359</c:v>
                </c:pt>
                <c:pt idx="8">
                  <c:v>42.012398616875359</c:v>
                </c:pt>
                <c:pt idx="9">
                  <c:v>42.012398616875359</c:v>
                </c:pt>
                <c:pt idx="10">
                  <c:v>42.012398616875359</c:v>
                </c:pt>
                <c:pt idx="11">
                  <c:v>42.012398616875359</c:v>
                </c:pt>
                <c:pt idx="12">
                  <c:v>42.012398616875359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E6-442F-869E-BDB746D5A70E}"/>
            </c:ext>
          </c:extLst>
        </c:ser>
        <c:ser>
          <c:idx val="6"/>
          <c:order val="6"/>
          <c:tx>
            <c:strRef>
              <c:f>'Pushover Curve_1'!$N$18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Curve_1'!$O$18:$AB$18</c:f>
              <c:numCache>
                <c:formatCode>0.0</c:formatCode>
                <c:ptCount val="14"/>
                <c:pt idx="0">
                  <c:v>0</c:v>
                </c:pt>
                <c:pt idx="1">
                  <c:v>42.770093933473241</c:v>
                </c:pt>
                <c:pt idx="2">
                  <c:v>48.472773124603009</c:v>
                </c:pt>
                <c:pt idx="3">
                  <c:v>51.324112720167889</c:v>
                </c:pt>
                <c:pt idx="4">
                  <c:v>57.026791911297657</c:v>
                </c:pt>
                <c:pt idx="5">
                  <c:v>57.026791911297657</c:v>
                </c:pt>
                <c:pt idx="6">
                  <c:v>57.026791911297657</c:v>
                </c:pt>
                <c:pt idx="7">
                  <c:v>57.026791911297657</c:v>
                </c:pt>
                <c:pt idx="8">
                  <c:v>57.026791911297657</c:v>
                </c:pt>
                <c:pt idx="9">
                  <c:v>57.026791911297657</c:v>
                </c:pt>
                <c:pt idx="10">
                  <c:v>57.026791911297657</c:v>
                </c:pt>
                <c:pt idx="11">
                  <c:v>57.026791911297657</c:v>
                </c:pt>
                <c:pt idx="12">
                  <c:v>57.026791911297657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3E6-442F-869E-BDB746D5A70E}"/>
            </c:ext>
          </c:extLst>
        </c:ser>
        <c:ser>
          <c:idx val="7"/>
          <c:order val="7"/>
          <c:tx>
            <c:strRef>
              <c:f>'Pushover Curve_1'!$N$19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Curve_1'!$O$19:$AB$19</c:f>
              <c:numCache>
                <c:formatCode>0.0</c:formatCode>
                <c:ptCount val="14"/>
                <c:pt idx="0">
                  <c:v>0</c:v>
                </c:pt>
                <c:pt idx="1">
                  <c:v>67.244611622534691</c:v>
                </c:pt>
                <c:pt idx="2">
                  <c:v>76.210559838872655</c:v>
                </c:pt>
                <c:pt idx="3">
                  <c:v>80.693533947041644</c:v>
                </c:pt>
                <c:pt idx="4">
                  <c:v>89.659482163379607</c:v>
                </c:pt>
                <c:pt idx="5">
                  <c:v>94.142456271548582</c:v>
                </c:pt>
                <c:pt idx="6">
                  <c:v>98.625430379717571</c:v>
                </c:pt>
                <c:pt idx="7">
                  <c:v>103.10840448788653</c:v>
                </c:pt>
                <c:pt idx="8">
                  <c:v>103.10840448788653</c:v>
                </c:pt>
                <c:pt idx="9">
                  <c:v>103.10840448788653</c:v>
                </c:pt>
                <c:pt idx="10">
                  <c:v>103.10840448788653</c:v>
                </c:pt>
                <c:pt idx="11">
                  <c:v>103.10840448788653</c:v>
                </c:pt>
                <c:pt idx="12">
                  <c:v>103.10840448788653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3E6-442F-869E-BDB746D5A70E}"/>
            </c:ext>
          </c:extLst>
        </c:ser>
        <c:ser>
          <c:idx val="8"/>
          <c:order val="8"/>
          <c:tx>
            <c:strRef>
              <c:f>'Pushover Curve_1'!$N$20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Curve_1'!$O$20:$AB$20</c:f>
              <c:numCache>
                <c:formatCode>0.0</c:formatCode>
                <c:ptCount val="14"/>
                <c:pt idx="0">
                  <c:v>0</c:v>
                </c:pt>
                <c:pt idx="1">
                  <c:v>71.502468157665348</c:v>
                </c:pt>
                <c:pt idx="2">
                  <c:v>81.036130578687391</c:v>
                </c:pt>
                <c:pt idx="3">
                  <c:v>85.80296178919842</c:v>
                </c:pt>
                <c:pt idx="4">
                  <c:v>95.336624210220478</c:v>
                </c:pt>
                <c:pt idx="5">
                  <c:v>100.10345542073149</c:v>
                </c:pt>
                <c:pt idx="6">
                  <c:v>104.87028663124252</c:v>
                </c:pt>
                <c:pt idx="7">
                  <c:v>104.87028663124252</c:v>
                </c:pt>
                <c:pt idx="8">
                  <c:v>104.87028663124252</c:v>
                </c:pt>
                <c:pt idx="9">
                  <c:v>104.87028663124252</c:v>
                </c:pt>
                <c:pt idx="10">
                  <c:v>104.87028663124252</c:v>
                </c:pt>
                <c:pt idx="11">
                  <c:v>104.87028663124252</c:v>
                </c:pt>
                <c:pt idx="12">
                  <c:v>104.87028663124252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3E6-442F-869E-BDB746D5A70E}"/>
            </c:ext>
          </c:extLst>
        </c:ser>
        <c:ser>
          <c:idx val="9"/>
          <c:order val="9"/>
          <c:tx>
            <c:strRef>
              <c:f>'Pushover Curve_1'!$N$21</c:f>
              <c:strCache>
                <c:ptCount val="1"/>
                <c:pt idx="0">
                  <c:v>13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Curve_1'!$O$21:$AB$21</c:f>
              <c:numCache>
                <c:formatCode>0.0</c:formatCode>
                <c:ptCount val="14"/>
                <c:pt idx="0">
                  <c:v>0</c:v>
                </c:pt>
                <c:pt idx="1">
                  <c:v>67.021087672493209</c:v>
                </c:pt>
                <c:pt idx="2">
                  <c:v>75.957232695492308</c:v>
                </c:pt>
                <c:pt idx="3">
                  <c:v>80.425305206991851</c:v>
                </c:pt>
                <c:pt idx="4">
                  <c:v>89.361450229990965</c:v>
                </c:pt>
                <c:pt idx="5">
                  <c:v>93.829522741490507</c:v>
                </c:pt>
                <c:pt idx="6">
                  <c:v>98.297595252990064</c:v>
                </c:pt>
                <c:pt idx="7">
                  <c:v>102.76566776448959</c:v>
                </c:pt>
                <c:pt idx="8">
                  <c:v>111.70181278748869</c:v>
                </c:pt>
                <c:pt idx="9">
                  <c:v>111.70181278748869</c:v>
                </c:pt>
                <c:pt idx="10">
                  <c:v>111.70181278748869</c:v>
                </c:pt>
                <c:pt idx="11">
                  <c:v>111.70181278748869</c:v>
                </c:pt>
                <c:pt idx="12">
                  <c:v>111.70181278748869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3E6-442F-869E-BDB746D5A70E}"/>
            </c:ext>
          </c:extLst>
        </c:ser>
        <c:ser>
          <c:idx val="10"/>
          <c:order val="10"/>
          <c:tx>
            <c:strRef>
              <c:f>'Pushover Curve_1'!$N$22</c:f>
              <c:strCache>
                <c:ptCount val="1"/>
                <c:pt idx="0">
                  <c:v>14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Curve_1'!$O$22:$AB$22</c:f>
              <c:numCache>
                <c:formatCode>0.0</c:formatCode>
                <c:ptCount val="14"/>
                <c:pt idx="0">
                  <c:v>0</c:v>
                </c:pt>
                <c:pt idx="1">
                  <c:v>42.7708162474852</c:v>
                </c:pt>
                <c:pt idx="2">
                  <c:v>48.473591747149889</c:v>
                </c:pt>
                <c:pt idx="3">
                  <c:v>51.324979496982245</c:v>
                </c:pt>
                <c:pt idx="4">
                  <c:v>57.027754996646934</c:v>
                </c:pt>
                <c:pt idx="5">
                  <c:v>57.027754996646934</c:v>
                </c:pt>
                <c:pt idx="6">
                  <c:v>57.027754996646934</c:v>
                </c:pt>
                <c:pt idx="7">
                  <c:v>57.027754996646934</c:v>
                </c:pt>
                <c:pt idx="8">
                  <c:v>57.027754996646934</c:v>
                </c:pt>
                <c:pt idx="9">
                  <c:v>57.027754996646934</c:v>
                </c:pt>
                <c:pt idx="10">
                  <c:v>57.027754996646934</c:v>
                </c:pt>
                <c:pt idx="11">
                  <c:v>57.027754996646934</c:v>
                </c:pt>
                <c:pt idx="12">
                  <c:v>57.027754996646934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3E6-442F-869E-BDB746D5A70E}"/>
            </c:ext>
          </c:extLst>
        </c:ser>
        <c:ser>
          <c:idx val="11"/>
          <c:order val="11"/>
          <c:tx>
            <c:strRef>
              <c:f>'Pushover Curve_1'!$N$25</c:f>
              <c:strCache>
                <c:ptCount val="1"/>
                <c:pt idx="0">
                  <c:v>18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Curve_1'!$O$25:$AB$25</c:f>
              <c:numCache>
                <c:formatCode>0.0</c:formatCode>
                <c:ptCount val="14"/>
                <c:pt idx="0">
                  <c:v>0</c:v>
                </c:pt>
                <c:pt idx="1">
                  <c:v>72.626672553854135</c:v>
                </c:pt>
                <c:pt idx="2">
                  <c:v>82.310228894368009</c:v>
                </c:pt>
                <c:pt idx="3">
                  <c:v>87.152007064624968</c:v>
                </c:pt>
                <c:pt idx="4">
                  <c:v>91.993785234881898</c:v>
                </c:pt>
                <c:pt idx="5">
                  <c:v>91.993785234881898</c:v>
                </c:pt>
                <c:pt idx="6">
                  <c:v>91.993785234881898</c:v>
                </c:pt>
                <c:pt idx="7">
                  <c:v>91.993785234881898</c:v>
                </c:pt>
                <c:pt idx="8">
                  <c:v>91.993785234881898</c:v>
                </c:pt>
                <c:pt idx="9">
                  <c:v>91.993785234881898</c:v>
                </c:pt>
                <c:pt idx="10">
                  <c:v>91.993785234881898</c:v>
                </c:pt>
                <c:pt idx="11">
                  <c:v>91.993785234881898</c:v>
                </c:pt>
                <c:pt idx="12">
                  <c:v>91.993785234881898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3E6-442F-869E-BDB746D5A70E}"/>
            </c:ext>
          </c:extLst>
        </c:ser>
        <c:ser>
          <c:idx val="12"/>
          <c:order val="12"/>
          <c:tx>
            <c:strRef>
              <c:f>'Pushover Curve_1'!$N$26</c:f>
              <c:strCache>
                <c:ptCount val="1"/>
                <c:pt idx="0">
                  <c:v>19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Curve_1'!$O$26:$AB$26</c:f>
              <c:numCache>
                <c:formatCode>0.0</c:formatCode>
                <c:ptCount val="14"/>
                <c:pt idx="0">
                  <c:v>0</c:v>
                </c:pt>
                <c:pt idx="1">
                  <c:v>203.14214872220776</c:v>
                </c:pt>
                <c:pt idx="2">
                  <c:v>230.22776855183542</c:v>
                </c:pt>
                <c:pt idx="3">
                  <c:v>243.77057846664928</c:v>
                </c:pt>
                <c:pt idx="4">
                  <c:v>270.856198296277</c:v>
                </c:pt>
                <c:pt idx="5">
                  <c:v>284.39900821109086</c:v>
                </c:pt>
                <c:pt idx="6">
                  <c:v>284.39900821109086</c:v>
                </c:pt>
                <c:pt idx="7">
                  <c:v>284.39900821109086</c:v>
                </c:pt>
                <c:pt idx="8">
                  <c:v>284.39900821109086</c:v>
                </c:pt>
                <c:pt idx="9">
                  <c:v>284.39900821109086</c:v>
                </c:pt>
                <c:pt idx="10">
                  <c:v>284.39900821109086</c:v>
                </c:pt>
                <c:pt idx="11">
                  <c:v>284.39900821109086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3E6-442F-869E-BDB746D5A70E}"/>
            </c:ext>
          </c:extLst>
        </c:ser>
        <c:ser>
          <c:idx val="13"/>
          <c:order val="13"/>
          <c:tx>
            <c:strRef>
              <c:f>'Pushover Curve_1'!$N$27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Curve_1'!$O$27:$AB$27</c:f>
              <c:numCache>
                <c:formatCode>0.0</c:formatCode>
                <c:ptCount val="14"/>
                <c:pt idx="0">
                  <c:v>0</c:v>
                </c:pt>
                <c:pt idx="1">
                  <c:v>23.306841372635102</c:v>
                </c:pt>
                <c:pt idx="2">
                  <c:v>26.41442022231978</c:v>
                </c:pt>
                <c:pt idx="3">
                  <c:v>27.968209647162123</c:v>
                </c:pt>
                <c:pt idx="4">
                  <c:v>31.075788496846801</c:v>
                </c:pt>
                <c:pt idx="5">
                  <c:v>32.629577921689148</c:v>
                </c:pt>
                <c:pt idx="6">
                  <c:v>34.183367346531483</c:v>
                </c:pt>
                <c:pt idx="7">
                  <c:v>35.737156771373819</c:v>
                </c:pt>
                <c:pt idx="8">
                  <c:v>46.613682745270204</c:v>
                </c:pt>
                <c:pt idx="9">
                  <c:v>46.613682745270204</c:v>
                </c:pt>
                <c:pt idx="10">
                  <c:v>46.613682745270204</c:v>
                </c:pt>
                <c:pt idx="11">
                  <c:v>46.613682745270204</c:v>
                </c:pt>
                <c:pt idx="12">
                  <c:v>46.613682745270204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3E6-442F-869E-BDB746D5A70E}"/>
            </c:ext>
          </c:extLst>
        </c:ser>
        <c:ser>
          <c:idx val="14"/>
          <c:order val="14"/>
          <c:tx>
            <c:strRef>
              <c:f>'Pushover Curve_1'!$N$28</c:f>
              <c:strCache>
                <c:ptCount val="1"/>
                <c:pt idx="0">
                  <c:v>21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Curve_1'!$O$28:$AB$28</c:f>
              <c:numCache>
                <c:formatCode>0.0</c:formatCode>
                <c:ptCount val="14"/>
                <c:pt idx="0">
                  <c:v>0</c:v>
                </c:pt>
                <c:pt idx="1">
                  <c:v>66.925323093706339</c:v>
                </c:pt>
                <c:pt idx="2">
                  <c:v>75.848699506200518</c:v>
                </c:pt>
                <c:pt idx="3">
                  <c:v>80.310387712447607</c:v>
                </c:pt>
                <c:pt idx="4">
                  <c:v>84.772075918694696</c:v>
                </c:pt>
                <c:pt idx="5">
                  <c:v>84.772075918694696</c:v>
                </c:pt>
                <c:pt idx="6">
                  <c:v>84.772075918694696</c:v>
                </c:pt>
                <c:pt idx="7">
                  <c:v>84.772075918694696</c:v>
                </c:pt>
                <c:pt idx="8">
                  <c:v>84.772075918694696</c:v>
                </c:pt>
                <c:pt idx="9">
                  <c:v>84.772075918694696</c:v>
                </c:pt>
                <c:pt idx="10">
                  <c:v>84.772075918694696</c:v>
                </c:pt>
                <c:pt idx="11">
                  <c:v>84.772075918694696</c:v>
                </c:pt>
                <c:pt idx="12">
                  <c:v>84.772075918694696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3E6-442F-869E-BDB746D5A70E}"/>
            </c:ext>
          </c:extLst>
        </c:ser>
        <c:ser>
          <c:idx val="15"/>
          <c:order val="15"/>
          <c:tx>
            <c:strRef>
              <c:f>'Pushover Curve_1'!$N$31</c:f>
              <c:strCache>
                <c:ptCount val="1"/>
                <c:pt idx="0">
                  <c:v>29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Curve_1'!$O$31:$AB$31</c:f>
              <c:numCache>
                <c:formatCode>0.0</c:formatCode>
                <c:ptCount val="14"/>
                <c:pt idx="0">
                  <c:v>0</c:v>
                </c:pt>
                <c:pt idx="1">
                  <c:v>1.9157367467576953</c:v>
                </c:pt>
                <c:pt idx="2">
                  <c:v>2.1711683129920547</c:v>
                </c:pt>
                <c:pt idx="3">
                  <c:v>2.2988840961092345</c:v>
                </c:pt>
                <c:pt idx="4">
                  <c:v>2.5543156623435941</c:v>
                </c:pt>
                <c:pt idx="5">
                  <c:v>2.6820314454607734</c:v>
                </c:pt>
                <c:pt idx="6">
                  <c:v>2.8097472285779532</c:v>
                </c:pt>
                <c:pt idx="7">
                  <c:v>2.9374630116951326</c:v>
                </c:pt>
                <c:pt idx="8">
                  <c:v>4.0869050597497507</c:v>
                </c:pt>
                <c:pt idx="9">
                  <c:v>5.2363471078043684</c:v>
                </c:pt>
                <c:pt idx="10">
                  <c:v>5.2363471078043684</c:v>
                </c:pt>
                <c:pt idx="11">
                  <c:v>5.2363471078043684</c:v>
                </c:pt>
                <c:pt idx="12">
                  <c:v>5.2363471078043684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3E6-442F-869E-BDB746D5A70E}"/>
            </c:ext>
          </c:extLst>
        </c:ser>
        <c:ser>
          <c:idx val="16"/>
          <c:order val="16"/>
          <c:tx>
            <c:strRef>
              <c:f>'Pushover Curve_1'!$N$32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Curve_1'!$O$32:$AB$32</c:f>
              <c:numCache>
                <c:formatCode>0.0</c:formatCode>
                <c:ptCount val="14"/>
                <c:pt idx="0">
                  <c:v>0</c:v>
                </c:pt>
                <c:pt idx="1">
                  <c:v>55.166573418711451</c:v>
                </c:pt>
                <c:pt idx="2">
                  <c:v>62.522116541206302</c:v>
                </c:pt>
                <c:pt idx="3">
                  <c:v>66.199888102453741</c:v>
                </c:pt>
                <c:pt idx="4">
                  <c:v>73.555431224948592</c:v>
                </c:pt>
                <c:pt idx="5">
                  <c:v>77.233202786196031</c:v>
                </c:pt>
                <c:pt idx="6">
                  <c:v>77.233202786196031</c:v>
                </c:pt>
                <c:pt idx="7">
                  <c:v>77.233202786196031</c:v>
                </c:pt>
                <c:pt idx="8">
                  <c:v>77.233202786196031</c:v>
                </c:pt>
                <c:pt idx="9">
                  <c:v>77.233202786196031</c:v>
                </c:pt>
                <c:pt idx="10">
                  <c:v>77.233202786196031</c:v>
                </c:pt>
                <c:pt idx="11">
                  <c:v>77.233202786196031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3E6-442F-869E-BDB746D5A70E}"/>
            </c:ext>
          </c:extLst>
        </c:ser>
        <c:ser>
          <c:idx val="17"/>
          <c:order val="17"/>
          <c:tx>
            <c:strRef>
              <c:f>'Pushover Curve_1'!$N$34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Curve_1'!$O$34:$AB$34</c:f>
              <c:numCache>
                <c:formatCode>General</c:formatCode>
                <c:ptCount val="14"/>
                <c:pt idx="0">
                  <c:v>0</c:v>
                </c:pt>
                <c:pt idx="1">
                  <c:v>930.60534345776637</c:v>
                </c:pt>
                <c:pt idx="2">
                  <c:v>1043.2791808985824</c:v>
                </c:pt>
                <c:pt idx="3">
                  <c:v>1095.5549183006372</c:v>
                </c:pt>
                <c:pt idx="4">
                  <c:v>1183.0078886122515</c:v>
                </c:pt>
                <c:pt idx="5">
                  <c:v>1216.3799132344093</c:v>
                </c:pt>
                <c:pt idx="6">
                  <c:v>1232.5313563805055</c:v>
                </c:pt>
                <c:pt idx="7">
                  <c:v>1243.9159683160913</c:v>
                </c:pt>
                <c:pt idx="8">
                  <c:v>1271.6466223326588</c:v>
                </c:pt>
                <c:pt idx="9">
                  <c:v>1279.564605352331</c:v>
                </c:pt>
                <c:pt idx="10">
                  <c:v>1279.564605352331</c:v>
                </c:pt>
                <c:pt idx="11">
                  <c:v>1279.564605352331</c:v>
                </c:pt>
                <c:pt idx="12">
                  <c:v>917.93239435504404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3E6-442F-869E-BDB746D5A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62384"/>
        <c:axId val="1148039520"/>
      </c:scatterChart>
      <c:valAx>
        <c:axId val="9628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Top displacement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039520"/>
        <c:crosses val="autoZero"/>
        <c:crossBetween val="midCat"/>
      </c:valAx>
      <c:valAx>
        <c:axId val="114803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Base shear [kN]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 displacement vs. total</a:t>
            </a:r>
            <a:r>
              <a:rPr lang="en-GB" baseline="0"/>
              <a:t> base shear, elastic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'Pushover Curve_1'!$O$8:$T$8</c:f>
              <c:numCache>
                <c:formatCode>0.0</c:formatCode>
                <c:ptCount val="6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</c:numCache>
            </c:numRef>
          </c:xVal>
          <c:yVal>
            <c:numRef>
              <c:f>'Pushover Curve_1'!$O$34:$U$34</c:f>
              <c:numCache>
                <c:formatCode>General</c:formatCode>
                <c:ptCount val="7"/>
                <c:pt idx="0">
                  <c:v>0</c:v>
                </c:pt>
                <c:pt idx="1">
                  <c:v>930.60534345776637</c:v>
                </c:pt>
                <c:pt idx="2">
                  <c:v>1043.2791808985824</c:v>
                </c:pt>
                <c:pt idx="3">
                  <c:v>1095.5549183006372</c:v>
                </c:pt>
                <c:pt idx="4">
                  <c:v>1183.0078886122515</c:v>
                </c:pt>
                <c:pt idx="5">
                  <c:v>1216.3799132344093</c:v>
                </c:pt>
                <c:pt idx="6">
                  <c:v>1232.5313563805055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73-4F30-99FE-FEB661599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61424"/>
        <c:axId val="1148006176"/>
      </c:scatterChart>
      <c:valAx>
        <c:axId val="96286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Top displacement</a:t>
                </a:r>
                <a:r>
                  <a:rPr lang="en-GB" baseline="0"/>
                  <a:t> [mm]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006176"/>
        <c:crosses val="autoZero"/>
        <c:crossBetween val="midCat"/>
      </c:valAx>
      <c:valAx>
        <c:axId val="114800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base shear [kN]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6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Combination of walls</c:v>
          </c:tx>
          <c:spPr>
            <a:ln w="25400" cap="rnd">
              <a:solidFill>
                <a:schemeClr val="accent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Curve_1'!$O$34:$AB$34</c:f>
              <c:numCache>
                <c:formatCode>General</c:formatCode>
                <c:ptCount val="14"/>
                <c:pt idx="0">
                  <c:v>0</c:v>
                </c:pt>
                <c:pt idx="1">
                  <c:v>930.60534345776637</c:v>
                </c:pt>
                <c:pt idx="2">
                  <c:v>1043.2791808985824</c:v>
                </c:pt>
                <c:pt idx="3">
                  <c:v>1095.5549183006372</c:v>
                </c:pt>
                <c:pt idx="4">
                  <c:v>1183.0078886122515</c:v>
                </c:pt>
                <c:pt idx="5">
                  <c:v>1216.3799132344093</c:v>
                </c:pt>
                <c:pt idx="6">
                  <c:v>1232.5313563805055</c:v>
                </c:pt>
                <c:pt idx="7">
                  <c:v>1243.9159683160913</c:v>
                </c:pt>
                <c:pt idx="8">
                  <c:v>1271.6466223326588</c:v>
                </c:pt>
                <c:pt idx="9">
                  <c:v>1279.564605352331</c:v>
                </c:pt>
                <c:pt idx="10">
                  <c:v>1279.564605352331</c:v>
                </c:pt>
                <c:pt idx="11">
                  <c:v>1279.564605352331</c:v>
                </c:pt>
                <c:pt idx="12">
                  <c:v>917.93239435504404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CB-43B9-ACB7-C46FEA2C4B5B}"/>
            </c:ext>
          </c:extLst>
        </c:ser>
        <c:ser>
          <c:idx val="1"/>
          <c:order val="1"/>
          <c:tx>
            <c:v>Envelope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Curve_1'!$O$8:$AB$8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1.5</c:v>
                </c:pt>
                <c:pt idx="2">
                  <c:v>1.7</c:v>
                </c:pt>
                <c:pt idx="3">
                  <c:v>1.8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3.2</c:v>
                </c:pt>
                <c:pt idx="9">
                  <c:v>5.1000000000000005</c:v>
                </c:pt>
                <c:pt idx="10">
                  <c:v>5.2</c:v>
                </c:pt>
                <c:pt idx="11">
                  <c:v>26.1</c:v>
                </c:pt>
                <c:pt idx="12">
                  <c:v>26.200000000000003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Curve_1'!$O$35:$Z$35</c:f>
              <c:numCache>
                <c:formatCode>General</c:formatCode>
                <c:ptCount val="12"/>
                <c:pt idx="0">
                  <c:v>0</c:v>
                </c:pt>
                <c:pt idx="1">
                  <c:v>900.56999999999994</c:v>
                </c:pt>
                <c:pt idx="2">
                  <c:v>1020.646</c:v>
                </c:pt>
                <c:pt idx="3">
                  <c:v>1080.684</c:v>
                </c:pt>
                <c:pt idx="4">
                  <c:v>1200.76</c:v>
                </c:pt>
                <c:pt idx="5">
                  <c:v>1260.798</c:v>
                </c:pt>
                <c:pt idx="6">
                  <c:v>1279.564605352331</c:v>
                </c:pt>
                <c:pt idx="7">
                  <c:v>1279.564605352331</c:v>
                </c:pt>
                <c:pt idx="8">
                  <c:v>1279.564605352331</c:v>
                </c:pt>
                <c:pt idx="9">
                  <c:v>1279.564605352331</c:v>
                </c:pt>
                <c:pt idx="10">
                  <c:v>1279.564605352331</c:v>
                </c:pt>
                <c:pt idx="11">
                  <c:v>1279.564605352331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CB-43B9-ACB7-C46FEA2C4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745184"/>
        <c:axId val="1143677920"/>
      </c:scatterChart>
      <c:valAx>
        <c:axId val="61174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800"/>
                  <a:t>δ</a:t>
                </a:r>
                <a:r>
                  <a:rPr lang="de-CH" sz="1800"/>
                  <a:t>top </a:t>
                </a:r>
                <a:r>
                  <a:rPr lang="en-GB" sz="1800"/>
                  <a:t>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677920"/>
        <c:crosses val="autoZero"/>
        <c:crossBetween val="midCat"/>
      </c:valAx>
      <c:valAx>
        <c:axId val="1143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/>
                  <a:t>Vbase [kN]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74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'Pushover Curve_2'!$N$10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Curve_2'!$O$10:$AB$10</c:f>
              <c:numCache>
                <c:formatCode>0.0</c:formatCode>
                <c:ptCount val="14"/>
                <c:pt idx="0">
                  <c:v>0</c:v>
                </c:pt>
                <c:pt idx="1">
                  <c:v>29.567340739484706</c:v>
                </c:pt>
                <c:pt idx="2">
                  <c:v>31.841751565598912</c:v>
                </c:pt>
                <c:pt idx="3">
                  <c:v>38.664984043941537</c:v>
                </c:pt>
                <c:pt idx="4">
                  <c:v>38.664984043941537</c:v>
                </c:pt>
                <c:pt idx="5">
                  <c:v>38.664984043941537</c:v>
                </c:pt>
                <c:pt idx="6">
                  <c:v>38.664984043941537</c:v>
                </c:pt>
                <c:pt idx="7">
                  <c:v>38.664984043941537</c:v>
                </c:pt>
                <c:pt idx="8">
                  <c:v>38.664984043941537</c:v>
                </c:pt>
                <c:pt idx="9">
                  <c:v>38.664984043941537</c:v>
                </c:pt>
                <c:pt idx="10">
                  <c:v>38.664984043941537</c:v>
                </c:pt>
                <c:pt idx="11">
                  <c:v>38.664984043941537</c:v>
                </c:pt>
                <c:pt idx="12">
                  <c:v>38.664984043941537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CC-402D-A3D1-D2750235622C}"/>
            </c:ext>
          </c:extLst>
        </c:ser>
        <c:ser>
          <c:idx val="1"/>
          <c:order val="1"/>
          <c:tx>
            <c:strRef>
              <c:f>'Pushover Curve_2'!$N$11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Curve_2'!$O$11:$AB$11</c:f>
              <c:numCache>
                <c:formatCode>0.0</c:formatCode>
                <c:ptCount val="14"/>
                <c:pt idx="0">
                  <c:v>0</c:v>
                </c:pt>
                <c:pt idx="1">
                  <c:v>95.823393904599129</c:v>
                </c:pt>
                <c:pt idx="2">
                  <c:v>103.1944242049529</c:v>
                </c:pt>
                <c:pt idx="3">
                  <c:v>125.30751510601424</c:v>
                </c:pt>
                <c:pt idx="4">
                  <c:v>125.30751510601424</c:v>
                </c:pt>
                <c:pt idx="5">
                  <c:v>125.30751510601424</c:v>
                </c:pt>
                <c:pt idx="6">
                  <c:v>125.30751510601424</c:v>
                </c:pt>
                <c:pt idx="7">
                  <c:v>125.30751510601424</c:v>
                </c:pt>
                <c:pt idx="8">
                  <c:v>125.30751510601424</c:v>
                </c:pt>
                <c:pt idx="9">
                  <c:v>125.30751510601424</c:v>
                </c:pt>
                <c:pt idx="10">
                  <c:v>125.30751510601424</c:v>
                </c:pt>
                <c:pt idx="11">
                  <c:v>125.30751510601424</c:v>
                </c:pt>
                <c:pt idx="12">
                  <c:v>125.30751510601424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CC-402D-A3D1-D2750235622C}"/>
            </c:ext>
          </c:extLst>
        </c:ser>
        <c:ser>
          <c:idx val="2"/>
          <c:order val="2"/>
          <c:tx>
            <c:strRef>
              <c:f>'Pushover Curve_2'!$N$12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Curve_2'!$O$12:$AB$12</c:f>
              <c:numCache>
                <c:formatCode>0.0</c:formatCode>
                <c:ptCount val="14"/>
                <c:pt idx="0">
                  <c:v>0</c:v>
                </c:pt>
                <c:pt idx="1">
                  <c:v>37.554069847903961</c:v>
                </c:pt>
                <c:pt idx="2">
                  <c:v>37.554069847903961</c:v>
                </c:pt>
                <c:pt idx="3">
                  <c:v>37.554069847903961</c:v>
                </c:pt>
                <c:pt idx="4">
                  <c:v>37.554069847903961</c:v>
                </c:pt>
                <c:pt idx="5">
                  <c:v>37.554069847903961</c:v>
                </c:pt>
                <c:pt idx="6">
                  <c:v>37.554069847903961</c:v>
                </c:pt>
                <c:pt idx="7">
                  <c:v>37.554069847903961</c:v>
                </c:pt>
                <c:pt idx="8">
                  <c:v>37.554069847903961</c:v>
                </c:pt>
                <c:pt idx="9">
                  <c:v>37.554069847903961</c:v>
                </c:pt>
                <c:pt idx="10">
                  <c:v>37.554069847903961</c:v>
                </c:pt>
                <c:pt idx="11">
                  <c:v>37.554069847903961</c:v>
                </c:pt>
                <c:pt idx="12">
                  <c:v>37.554069847903961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CC-402D-A3D1-D2750235622C}"/>
            </c:ext>
          </c:extLst>
        </c:ser>
        <c:ser>
          <c:idx val="3"/>
          <c:order val="3"/>
          <c:tx>
            <c:strRef>
              <c:f>'Pushover Curve_2'!$N$15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Curve_2'!$O$15:$AB$15</c:f>
              <c:numCache>
                <c:formatCode>0.0</c:formatCode>
                <c:ptCount val="14"/>
                <c:pt idx="0">
                  <c:v>0</c:v>
                </c:pt>
                <c:pt idx="1">
                  <c:v>34.944071346174503</c:v>
                </c:pt>
                <c:pt idx="2">
                  <c:v>34.944071346174503</c:v>
                </c:pt>
                <c:pt idx="3">
                  <c:v>34.944071346174503</c:v>
                </c:pt>
                <c:pt idx="4">
                  <c:v>34.944071346174503</c:v>
                </c:pt>
                <c:pt idx="5">
                  <c:v>34.944071346174503</c:v>
                </c:pt>
                <c:pt idx="6">
                  <c:v>34.944071346174503</c:v>
                </c:pt>
                <c:pt idx="7">
                  <c:v>34.944071346174503</c:v>
                </c:pt>
                <c:pt idx="8">
                  <c:v>34.944071346174503</c:v>
                </c:pt>
                <c:pt idx="9">
                  <c:v>34.944071346174503</c:v>
                </c:pt>
                <c:pt idx="10">
                  <c:v>34.944071346174503</c:v>
                </c:pt>
                <c:pt idx="11">
                  <c:v>34.944071346174503</c:v>
                </c:pt>
                <c:pt idx="12">
                  <c:v>34.944071346174503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CC-402D-A3D1-D2750235622C}"/>
            </c:ext>
          </c:extLst>
        </c:ser>
        <c:ser>
          <c:idx val="4"/>
          <c:order val="4"/>
          <c:tx>
            <c:strRef>
              <c:f>'Pushover Curve_2'!$N$16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Curve_2'!$O$16:$AB$16</c:f>
              <c:numCache>
                <c:formatCode>0.0</c:formatCode>
                <c:ptCount val="14"/>
                <c:pt idx="0">
                  <c:v>0</c:v>
                </c:pt>
                <c:pt idx="1">
                  <c:v>104.71027539502468</c:v>
                </c:pt>
                <c:pt idx="2">
                  <c:v>112.76491196387272</c:v>
                </c:pt>
                <c:pt idx="3">
                  <c:v>136.92882167041688</c:v>
                </c:pt>
                <c:pt idx="4">
                  <c:v>144.98345823926493</c:v>
                </c:pt>
                <c:pt idx="5">
                  <c:v>153.03809480811299</c:v>
                </c:pt>
                <c:pt idx="6">
                  <c:v>161.09273137696104</c:v>
                </c:pt>
                <c:pt idx="7">
                  <c:v>161.09273137696104</c:v>
                </c:pt>
                <c:pt idx="8">
                  <c:v>161.09273137696104</c:v>
                </c:pt>
                <c:pt idx="9">
                  <c:v>161.09273137696104</c:v>
                </c:pt>
                <c:pt idx="10">
                  <c:v>161.09273137696104</c:v>
                </c:pt>
                <c:pt idx="11">
                  <c:v>161.09273137696104</c:v>
                </c:pt>
                <c:pt idx="12">
                  <c:v>161.09273137696104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CC-402D-A3D1-D2750235622C}"/>
            </c:ext>
          </c:extLst>
        </c:ser>
        <c:ser>
          <c:idx val="5"/>
          <c:order val="5"/>
          <c:tx>
            <c:strRef>
              <c:f>'Pushover Curve_2'!$N$17</c:f>
              <c:strCache>
                <c:ptCount val="1"/>
                <c:pt idx="0">
                  <c:v>17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Curve_2'!$O$17:$AB$17</c:f>
              <c:numCache>
                <c:formatCode>0.0</c:formatCode>
                <c:ptCount val="14"/>
                <c:pt idx="0">
                  <c:v>0</c:v>
                </c:pt>
                <c:pt idx="1">
                  <c:v>33.785534611914109</c:v>
                </c:pt>
                <c:pt idx="2">
                  <c:v>36.384421889753646</c:v>
                </c:pt>
                <c:pt idx="3">
                  <c:v>44.181083723272295</c:v>
                </c:pt>
                <c:pt idx="4">
                  <c:v>46.779971001111839</c:v>
                </c:pt>
                <c:pt idx="5">
                  <c:v>46.779971001111839</c:v>
                </c:pt>
                <c:pt idx="6">
                  <c:v>46.779971001111839</c:v>
                </c:pt>
                <c:pt idx="7">
                  <c:v>46.779971001111839</c:v>
                </c:pt>
                <c:pt idx="8">
                  <c:v>46.779971001111839</c:v>
                </c:pt>
                <c:pt idx="9">
                  <c:v>46.779971001111839</c:v>
                </c:pt>
                <c:pt idx="10">
                  <c:v>46.779971001111839</c:v>
                </c:pt>
                <c:pt idx="11">
                  <c:v>46.779971001111839</c:v>
                </c:pt>
                <c:pt idx="12">
                  <c:v>46.779971001111839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CC-402D-A3D1-D2750235622C}"/>
            </c:ext>
          </c:extLst>
        </c:ser>
        <c:ser>
          <c:idx val="6"/>
          <c:order val="6"/>
          <c:tx>
            <c:strRef>
              <c:f>'Pushover Curve_2'!$N$20</c:f>
              <c:strCache>
                <c:ptCount val="1"/>
                <c:pt idx="0">
                  <c:v>22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Curve_2'!$O$20:$AB$20</c:f>
              <c:numCache>
                <c:formatCode>0.0</c:formatCode>
                <c:ptCount val="14"/>
                <c:pt idx="0">
                  <c:v>0</c:v>
                </c:pt>
                <c:pt idx="1">
                  <c:v>0.58354943952438287</c:v>
                </c:pt>
                <c:pt idx="2">
                  <c:v>0.62843785794933527</c:v>
                </c:pt>
                <c:pt idx="3">
                  <c:v>0.76310311322419278</c:v>
                </c:pt>
                <c:pt idx="4">
                  <c:v>0.80799153164914539</c:v>
                </c:pt>
                <c:pt idx="5">
                  <c:v>0.85287995007409789</c:v>
                </c:pt>
                <c:pt idx="6">
                  <c:v>0.8977683684990504</c:v>
                </c:pt>
                <c:pt idx="7">
                  <c:v>1.0773220421988605</c:v>
                </c:pt>
                <c:pt idx="8">
                  <c:v>1.5710946448733383</c:v>
                </c:pt>
                <c:pt idx="9">
                  <c:v>2.1097556659727688</c:v>
                </c:pt>
                <c:pt idx="10">
                  <c:v>3.770627147696012</c:v>
                </c:pt>
                <c:pt idx="11">
                  <c:v>3.770627147696012</c:v>
                </c:pt>
                <c:pt idx="12">
                  <c:v>3.770627147696012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CC-402D-A3D1-D2750235622C}"/>
            </c:ext>
          </c:extLst>
        </c:ser>
        <c:ser>
          <c:idx val="7"/>
          <c:order val="7"/>
          <c:tx>
            <c:strRef>
              <c:f>'Pushover Curve_2'!$N$21</c:f>
              <c:strCache>
                <c:ptCount val="1"/>
                <c:pt idx="0">
                  <c:v>23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Curve_2'!$O$21:$AB$21</c:f>
              <c:numCache>
                <c:formatCode>0.0</c:formatCode>
                <c:ptCount val="14"/>
                <c:pt idx="0">
                  <c:v>0</c:v>
                </c:pt>
                <c:pt idx="1">
                  <c:v>105.1810428635839</c:v>
                </c:pt>
                <c:pt idx="2">
                  <c:v>113.2718923146288</c:v>
                </c:pt>
                <c:pt idx="3">
                  <c:v>137.54444066776355</c:v>
                </c:pt>
                <c:pt idx="4">
                  <c:v>145.63529011880846</c:v>
                </c:pt>
                <c:pt idx="5">
                  <c:v>153.72613956985336</c:v>
                </c:pt>
                <c:pt idx="6">
                  <c:v>161.81698902089829</c:v>
                </c:pt>
                <c:pt idx="7">
                  <c:v>161.81698902089829</c:v>
                </c:pt>
                <c:pt idx="8">
                  <c:v>161.81698902089829</c:v>
                </c:pt>
                <c:pt idx="9">
                  <c:v>161.81698902089829</c:v>
                </c:pt>
                <c:pt idx="10">
                  <c:v>161.81698902089829</c:v>
                </c:pt>
                <c:pt idx="11">
                  <c:v>161.81698902089829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CC-402D-A3D1-D2750235622C}"/>
            </c:ext>
          </c:extLst>
        </c:ser>
        <c:ser>
          <c:idx val="8"/>
          <c:order val="8"/>
          <c:tx>
            <c:strRef>
              <c:f>'Pushover Curve_2'!$N$22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Curve_2'!$O$22:$AB$22</c:f>
              <c:numCache>
                <c:formatCode>0.0</c:formatCode>
                <c:ptCount val="14"/>
                <c:pt idx="0">
                  <c:v>0</c:v>
                </c:pt>
                <c:pt idx="1">
                  <c:v>19.284118144596444</c:v>
                </c:pt>
                <c:pt idx="2">
                  <c:v>19.284118144596444</c:v>
                </c:pt>
                <c:pt idx="3">
                  <c:v>19.284118144596444</c:v>
                </c:pt>
                <c:pt idx="4">
                  <c:v>19.284118144596444</c:v>
                </c:pt>
                <c:pt idx="5">
                  <c:v>19.284118144596444</c:v>
                </c:pt>
                <c:pt idx="6">
                  <c:v>19.284118144596444</c:v>
                </c:pt>
                <c:pt idx="7">
                  <c:v>19.284118144596444</c:v>
                </c:pt>
                <c:pt idx="8">
                  <c:v>19.284118144596444</c:v>
                </c:pt>
                <c:pt idx="9">
                  <c:v>19.284118144596444</c:v>
                </c:pt>
                <c:pt idx="10">
                  <c:v>19.284118144596444</c:v>
                </c:pt>
                <c:pt idx="11">
                  <c:v>19.284118144596444</c:v>
                </c:pt>
                <c:pt idx="12">
                  <c:v>19.284118144596444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CC-402D-A3D1-D2750235622C}"/>
            </c:ext>
          </c:extLst>
        </c:ser>
        <c:ser>
          <c:idx val="9"/>
          <c:order val="9"/>
          <c:tx>
            <c:strRef>
              <c:f>'Pushover Curve_2'!$N$25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Curve_2'!$O$25:$AB$25</c:f>
              <c:numCache>
                <c:formatCode>0.0</c:formatCode>
                <c:ptCount val="14"/>
                <c:pt idx="0">
                  <c:v>0</c:v>
                </c:pt>
                <c:pt idx="1">
                  <c:v>0.21715078849508498</c:v>
                </c:pt>
                <c:pt idx="2">
                  <c:v>0.23385469530239919</c:v>
                </c:pt>
                <c:pt idx="3">
                  <c:v>0.28396641572434184</c:v>
                </c:pt>
                <c:pt idx="4">
                  <c:v>0.3006703225316561</c:v>
                </c:pt>
                <c:pt idx="5">
                  <c:v>0.3173742293389703</c:v>
                </c:pt>
                <c:pt idx="6">
                  <c:v>0.33407813614628457</c:v>
                </c:pt>
                <c:pt idx="7">
                  <c:v>0.40089376337554145</c:v>
                </c:pt>
                <c:pt idx="8">
                  <c:v>0.58463673825599793</c:v>
                </c:pt>
                <c:pt idx="9">
                  <c:v>0.78508361994376874</c:v>
                </c:pt>
                <c:pt idx="10">
                  <c:v>0.78508361994376874</c:v>
                </c:pt>
                <c:pt idx="11">
                  <c:v>0.78508361994376874</c:v>
                </c:pt>
                <c:pt idx="12">
                  <c:v>0.78508361994376874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8CC-402D-A3D1-D2750235622C}"/>
            </c:ext>
          </c:extLst>
        </c:ser>
        <c:ser>
          <c:idx val="10"/>
          <c:order val="10"/>
          <c:tx>
            <c:strRef>
              <c:f>'Pushover Curve_2'!$N$26</c:f>
              <c:strCache>
                <c:ptCount val="1"/>
                <c:pt idx="0">
                  <c:v>26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Curve_2'!$O$26:$AB$26</c:f>
              <c:numCache>
                <c:formatCode>0.0</c:formatCode>
                <c:ptCount val="14"/>
                <c:pt idx="0">
                  <c:v>0</c:v>
                </c:pt>
                <c:pt idx="1">
                  <c:v>3.6203865403354252</c:v>
                </c:pt>
                <c:pt idx="2">
                  <c:v>3.8988778126689185</c:v>
                </c:pt>
                <c:pt idx="3">
                  <c:v>4.7343516296694013</c:v>
                </c:pt>
                <c:pt idx="4">
                  <c:v>5.0128429020028964</c:v>
                </c:pt>
                <c:pt idx="5">
                  <c:v>5.2913341743363898</c:v>
                </c:pt>
                <c:pt idx="6">
                  <c:v>5.569825446669884</c:v>
                </c:pt>
                <c:pt idx="7">
                  <c:v>6.683790536003861</c:v>
                </c:pt>
                <c:pt idx="8">
                  <c:v>9.7471945316722977</c:v>
                </c:pt>
                <c:pt idx="9">
                  <c:v>9.7471945316722977</c:v>
                </c:pt>
                <c:pt idx="10">
                  <c:v>9.7471945316722977</c:v>
                </c:pt>
                <c:pt idx="11">
                  <c:v>9.7471945316722977</c:v>
                </c:pt>
                <c:pt idx="12">
                  <c:v>9.7471945316722977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8CC-402D-A3D1-D2750235622C}"/>
            </c:ext>
          </c:extLst>
        </c:ser>
        <c:ser>
          <c:idx val="11"/>
          <c:order val="11"/>
          <c:tx>
            <c:strRef>
              <c:f>'Pushover Curve_2'!$N$27</c:f>
              <c:strCache>
                <c:ptCount val="1"/>
                <c:pt idx="0">
                  <c:v>27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Curve_2'!$O$27:$AB$27</c:f>
              <c:numCache>
                <c:formatCode>0.0</c:formatCode>
                <c:ptCount val="14"/>
                <c:pt idx="0">
                  <c:v>0</c:v>
                </c:pt>
                <c:pt idx="1">
                  <c:v>57.265534615464915</c:v>
                </c:pt>
                <c:pt idx="2">
                  <c:v>61.670575739731447</c:v>
                </c:pt>
                <c:pt idx="3">
                  <c:v>74.885699112531043</c:v>
                </c:pt>
                <c:pt idx="4">
                  <c:v>79.290740236797575</c:v>
                </c:pt>
                <c:pt idx="5">
                  <c:v>83.695781361064107</c:v>
                </c:pt>
                <c:pt idx="6">
                  <c:v>83.695781361064107</c:v>
                </c:pt>
                <c:pt idx="7">
                  <c:v>83.695781361064107</c:v>
                </c:pt>
                <c:pt idx="8">
                  <c:v>83.695781361064107</c:v>
                </c:pt>
                <c:pt idx="9">
                  <c:v>83.695781361064107</c:v>
                </c:pt>
                <c:pt idx="10">
                  <c:v>83.695781361064107</c:v>
                </c:pt>
                <c:pt idx="11">
                  <c:v>83.695781361064107</c:v>
                </c:pt>
                <c:pt idx="12">
                  <c:v>83.695781361064107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8CC-402D-A3D1-D2750235622C}"/>
            </c:ext>
          </c:extLst>
        </c:ser>
        <c:ser>
          <c:idx val="12"/>
          <c:order val="12"/>
          <c:tx>
            <c:strRef>
              <c:f>'Pushover Curve_2'!$N$28</c:f>
              <c:strCache>
                <c:ptCount val="1"/>
                <c:pt idx="0">
                  <c:v>28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Curve_2'!$O$28:$AB$28</c:f>
              <c:numCache>
                <c:formatCode>0.0</c:formatCode>
                <c:ptCount val="14"/>
                <c:pt idx="0">
                  <c:v>0</c:v>
                </c:pt>
                <c:pt idx="1">
                  <c:v>19.283799049221958</c:v>
                </c:pt>
                <c:pt idx="2">
                  <c:v>19.283799049221958</c:v>
                </c:pt>
                <c:pt idx="3">
                  <c:v>19.283799049221958</c:v>
                </c:pt>
                <c:pt idx="4">
                  <c:v>19.283799049221958</c:v>
                </c:pt>
                <c:pt idx="5">
                  <c:v>19.283799049221958</c:v>
                </c:pt>
                <c:pt idx="6">
                  <c:v>19.283799049221958</c:v>
                </c:pt>
                <c:pt idx="7">
                  <c:v>19.283799049221958</c:v>
                </c:pt>
                <c:pt idx="8">
                  <c:v>19.283799049221958</c:v>
                </c:pt>
                <c:pt idx="9">
                  <c:v>19.283799049221958</c:v>
                </c:pt>
                <c:pt idx="10">
                  <c:v>19.283799049221958</c:v>
                </c:pt>
                <c:pt idx="11">
                  <c:v>19.283799049221958</c:v>
                </c:pt>
                <c:pt idx="12">
                  <c:v>19.283799049221958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8CC-402D-A3D1-D2750235622C}"/>
            </c:ext>
          </c:extLst>
        </c:ser>
        <c:ser>
          <c:idx val="13"/>
          <c:order val="13"/>
          <c:tx>
            <c:strRef>
              <c:f>'Pushover Curve_2'!$N$31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Curve_2'!$O$31:$AB$31</c:f>
              <c:numCache>
                <c:formatCode>0.0</c:formatCode>
                <c:ptCount val="14"/>
                <c:pt idx="0">
                  <c:v>0</c:v>
                </c:pt>
                <c:pt idx="1">
                  <c:v>10.959878057591704</c:v>
                </c:pt>
                <c:pt idx="2">
                  <c:v>11.802945600483373</c:v>
                </c:pt>
                <c:pt idx="3">
                  <c:v>14.332148229158381</c:v>
                </c:pt>
                <c:pt idx="4">
                  <c:v>15.175215772050048</c:v>
                </c:pt>
                <c:pt idx="5">
                  <c:v>16.018283314941719</c:v>
                </c:pt>
                <c:pt idx="6">
                  <c:v>16.86135085783339</c:v>
                </c:pt>
                <c:pt idx="7">
                  <c:v>20.233621029400066</c:v>
                </c:pt>
                <c:pt idx="8">
                  <c:v>20.233621029400066</c:v>
                </c:pt>
                <c:pt idx="9">
                  <c:v>20.233621029400066</c:v>
                </c:pt>
                <c:pt idx="10">
                  <c:v>20.233621029400066</c:v>
                </c:pt>
                <c:pt idx="11">
                  <c:v>20.233621029400066</c:v>
                </c:pt>
                <c:pt idx="12">
                  <c:v>20.233621029400066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8CC-402D-A3D1-D2750235622C}"/>
            </c:ext>
          </c:extLst>
        </c:ser>
        <c:ser>
          <c:idx val="14"/>
          <c:order val="14"/>
          <c:tx>
            <c:strRef>
              <c:f>'Pushover Curve_2'!$N$34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Curve_2'!$O$34:$AB$34</c:f>
              <c:numCache>
                <c:formatCode>0.0</c:formatCode>
                <c:ptCount val="14"/>
                <c:pt idx="0">
                  <c:v>0</c:v>
                </c:pt>
                <c:pt idx="1">
                  <c:v>45.686014849577319</c:v>
                </c:pt>
                <c:pt idx="2">
                  <c:v>49.200323684160182</c:v>
                </c:pt>
                <c:pt idx="3">
                  <c:v>49.200323684160182</c:v>
                </c:pt>
                <c:pt idx="4">
                  <c:v>49.200323684160182</c:v>
                </c:pt>
                <c:pt idx="5">
                  <c:v>49.200323684160182</c:v>
                </c:pt>
                <c:pt idx="6">
                  <c:v>49.200323684160182</c:v>
                </c:pt>
                <c:pt idx="7">
                  <c:v>49.200323684160182</c:v>
                </c:pt>
                <c:pt idx="8">
                  <c:v>49.200323684160182</c:v>
                </c:pt>
                <c:pt idx="9">
                  <c:v>49.200323684160182</c:v>
                </c:pt>
                <c:pt idx="10">
                  <c:v>49.200323684160182</c:v>
                </c:pt>
                <c:pt idx="11">
                  <c:v>49.200323684160182</c:v>
                </c:pt>
                <c:pt idx="12">
                  <c:v>49.200323684160182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8CC-402D-A3D1-D2750235622C}"/>
            </c:ext>
          </c:extLst>
        </c:ser>
        <c:ser>
          <c:idx val="15"/>
          <c:order val="15"/>
          <c:tx>
            <c:strRef>
              <c:f>'Pushover Curve_2'!$N$36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Curve_2'!$O$36:$AB$36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552.78014534391491</c:v>
                </c:pt>
                <c:pt idx="2" formatCode="General">
                  <c:v>586.75815203283935</c:v>
                </c:pt>
                <c:pt idx="3" formatCode="General">
                  <c:v>688.69217209961266</c:v>
                </c:pt>
                <c:pt idx="4" formatCode="General">
                  <c:v>713.02473766206913</c:v>
                </c:pt>
                <c:pt idx="5" formatCode="General">
                  <c:v>734.75841594668611</c:v>
                </c:pt>
                <c:pt idx="6" formatCode="General">
                  <c:v>752.08705310703658</c:v>
                </c:pt>
                <c:pt idx="7" formatCode="General">
                  <c:v>756.81965766886617</c:v>
                </c:pt>
                <c:pt idx="8" formatCode="General">
                  <c:v>760.56057724208961</c:v>
                </c:pt>
                <c:pt idx="9" formatCode="General">
                  <c:v>761.29968514487689</c:v>
                </c:pt>
                <c:pt idx="10" formatCode="General">
                  <c:v>762.96055662660012</c:v>
                </c:pt>
                <c:pt idx="11" formatCode="General">
                  <c:v>762.96055662660012</c:v>
                </c:pt>
                <c:pt idx="12" formatCode="General">
                  <c:v>601.14356760570183</c:v>
                </c:pt>
                <c:pt idx="1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8CC-402D-A3D1-D27502356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62384"/>
        <c:axId val="1148039520"/>
      </c:scatterChart>
      <c:valAx>
        <c:axId val="9628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Top displacement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039520"/>
        <c:crosses val="autoZero"/>
        <c:crossBetween val="midCat"/>
      </c:valAx>
      <c:valAx>
        <c:axId val="114803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Base shear [kN]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 displacement vs. total</a:t>
            </a:r>
            <a:r>
              <a:rPr lang="en-GB" baseline="0"/>
              <a:t> base shear, elastic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'Pushover Curve_2'!$O$8:$T$8</c:f>
              <c:numCache>
                <c:formatCode>0.0</c:formatCode>
                <c:ptCount val="6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</c:numCache>
            </c:numRef>
          </c:xVal>
          <c:yVal>
            <c:numRef>
              <c:f>'Pushover Curve_2'!$O$36:$T$36</c:f>
              <c:numCache>
                <c:formatCode>0.0</c:formatCode>
                <c:ptCount val="6"/>
                <c:pt idx="0" formatCode="General">
                  <c:v>0</c:v>
                </c:pt>
                <c:pt idx="1">
                  <c:v>552.78014534391491</c:v>
                </c:pt>
                <c:pt idx="2" formatCode="General">
                  <c:v>586.75815203283935</c:v>
                </c:pt>
                <c:pt idx="3" formatCode="General">
                  <c:v>688.69217209961266</c:v>
                </c:pt>
                <c:pt idx="4" formatCode="General">
                  <c:v>713.02473766206913</c:v>
                </c:pt>
                <c:pt idx="5" formatCode="General">
                  <c:v>734.75841594668611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C5-4149-8BE1-FA79B665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61424"/>
        <c:axId val="1148006176"/>
      </c:scatterChart>
      <c:valAx>
        <c:axId val="96286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Top displacement</a:t>
                </a:r>
                <a:r>
                  <a:rPr lang="en-GB" baseline="0"/>
                  <a:t> [mm]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006176"/>
        <c:crosses val="autoZero"/>
        <c:crossBetween val="midCat"/>
      </c:valAx>
      <c:valAx>
        <c:axId val="114800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base shear [kN]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6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Combination of walls</c:v>
          </c:tx>
          <c:spPr>
            <a:ln w="25400" cap="rnd">
              <a:solidFill>
                <a:schemeClr val="accent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Curve_2'!$O$36:$AB$36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552.78014534391491</c:v>
                </c:pt>
                <c:pt idx="2" formatCode="General">
                  <c:v>586.75815203283935</c:v>
                </c:pt>
                <c:pt idx="3" formatCode="General">
                  <c:v>688.69217209961266</c:v>
                </c:pt>
                <c:pt idx="4" formatCode="General">
                  <c:v>713.02473766206913</c:v>
                </c:pt>
                <c:pt idx="5" formatCode="General">
                  <c:v>734.75841594668611</c:v>
                </c:pt>
                <c:pt idx="6" formatCode="General">
                  <c:v>752.08705310703658</c:v>
                </c:pt>
                <c:pt idx="7" formatCode="General">
                  <c:v>756.81965766886617</c:v>
                </c:pt>
                <c:pt idx="8" formatCode="General">
                  <c:v>760.56057724208961</c:v>
                </c:pt>
                <c:pt idx="9" formatCode="General">
                  <c:v>761.29968514487689</c:v>
                </c:pt>
                <c:pt idx="10" formatCode="General">
                  <c:v>762.96055662660012</c:v>
                </c:pt>
                <c:pt idx="11" formatCode="General">
                  <c:v>762.96055662660012</c:v>
                </c:pt>
                <c:pt idx="12" formatCode="General">
                  <c:v>601.14356760570183</c:v>
                </c:pt>
                <c:pt idx="1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9-47BC-910A-8BDA8C84DCAE}"/>
            </c:ext>
          </c:extLst>
        </c:ser>
        <c:ser>
          <c:idx val="1"/>
          <c:order val="1"/>
          <c:tx>
            <c:v>Envelope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'Pushover Curve_2'!$O$8:$AB$8</c:f>
              <c:numCache>
                <c:formatCode>0.0</c:formatCode>
                <c:ptCount val="14"/>
                <c:pt idx="0" formatCode="General">
                  <c:v>0</c:v>
                </c:pt>
                <c:pt idx="1">
                  <c:v>1.3</c:v>
                </c:pt>
                <c:pt idx="2">
                  <c:v>1.4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2.4</c:v>
                </c:pt>
                <c:pt idx="8">
                  <c:v>3.5</c:v>
                </c:pt>
                <c:pt idx="9">
                  <c:v>4.7</c:v>
                </c:pt>
                <c:pt idx="10">
                  <c:v>8.4</c:v>
                </c:pt>
                <c:pt idx="11">
                  <c:v>26.1</c:v>
                </c:pt>
                <c:pt idx="12">
                  <c:v>26.2</c:v>
                </c:pt>
                <c:pt idx="13">
                  <c:v>39.699999999999996</c:v>
                </c:pt>
              </c:numCache>
            </c:numRef>
          </c:xVal>
          <c:yVal>
            <c:numRef>
              <c:f>'Pushover Curve_2'!$O$37:$Z$37</c:f>
              <c:numCache>
                <c:formatCode>0.0</c:formatCode>
                <c:ptCount val="12"/>
                <c:pt idx="0" formatCode="General">
                  <c:v>0</c:v>
                </c:pt>
                <c:pt idx="1">
                  <c:v>525.61599999999999</c:v>
                </c:pt>
                <c:pt idx="2" formatCode="General">
                  <c:v>566.048</c:v>
                </c:pt>
                <c:pt idx="3" formatCode="General">
                  <c:v>687.34399999999994</c:v>
                </c:pt>
                <c:pt idx="4" formatCode="General">
                  <c:v>727.77599999999995</c:v>
                </c:pt>
                <c:pt idx="5" formatCode="General">
                  <c:v>762.96055662660012</c:v>
                </c:pt>
                <c:pt idx="6" formatCode="General">
                  <c:v>762.96055662660012</c:v>
                </c:pt>
                <c:pt idx="7" formatCode="General">
                  <c:v>762.96055662660012</c:v>
                </c:pt>
                <c:pt idx="8" formatCode="General">
                  <c:v>762.96055662660012</c:v>
                </c:pt>
                <c:pt idx="9" formatCode="General">
                  <c:v>762.96055662660012</c:v>
                </c:pt>
                <c:pt idx="10" formatCode="General">
                  <c:v>762.96055662660012</c:v>
                </c:pt>
                <c:pt idx="11" formatCode="General">
                  <c:v>762.96055662660012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59-47BC-910A-8BDA8C84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745184"/>
        <c:axId val="1143677920"/>
      </c:scatterChart>
      <c:valAx>
        <c:axId val="61174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800"/>
                  <a:t>δ</a:t>
                </a:r>
                <a:r>
                  <a:rPr lang="de-CH" sz="1800"/>
                  <a:t>top </a:t>
                </a:r>
                <a:r>
                  <a:rPr lang="en-GB" sz="1800"/>
                  <a:t>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677920"/>
        <c:crosses val="autoZero"/>
        <c:crossBetween val="midCat"/>
      </c:valAx>
      <c:valAx>
        <c:axId val="1143677920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/>
                  <a:t>Vbase [kN]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74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56136</xdr:colOff>
      <xdr:row>24</xdr:row>
      <xdr:rowOff>19506</xdr:rowOff>
    </xdr:from>
    <xdr:to>
      <xdr:col>8</xdr:col>
      <xdr:colOff>1076467</xdr:colOff>
      <xdr:row>25</xdr:row>
      <xdr:rowOff>89250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717860F1-281C-6BDA-B04E-52C0D1418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7772" y="4152779"/>
          <a:ext cx="1020331" cy="2429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174338</xdr:colOff>
      <xdr:row>40</xdr:row>
      <xdr:rowOff>118921</xdr:rowOff>
    </xdr:from>
    <xdr:to>
      <xdr:col>28</xdr:col>
      <xdr:colOff>0</xdr:colOff>
      <xdr:row>64</xdr:row>
      <xdr:rowOff>150091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E94AA93F-154B-AB81-F592-FD18D69E8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17662</xdr:colOff>
      <xdr:row>5</xdr:row>
      <xdr:rowOff>66487</xdr:rowOff>
    </xdr:from>
    <xdr:to>
      <xdr:col>38</xdr:col>
      <xdr:colOff>120773</xdr:colOff>
      <xdr:row>25</xdr:row>
      <xdr:rowOff>11254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40824F64-F208-6ACE-B28C-F308576CD1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635000</xdr:colOff>
      <xdr:row>35</xdr:row>
      <xdr:rowOff>46719</xdr:rowOff>
    </xdr:from>
    <xdr:to>
      <xdr:col>40</xdr:col>
      <xdr:colOff>349250</xdr:colOff>
      <xdr:row>64</xdr:row>
      <xdr:rowOff>64861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F9042761-E57A-85B2-A933-4B9B62F700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174338</xdr:colOff>
      <xdr:row>42</xdr:row>
      <xdr:rowOff>7796</xdr:rowOff>
    </xdr:from>
    <xdr:to>
      <xdr:col>28</xdr:col>
      <xdr:colOff>0</xdr:colOff>
      <xdr:row>66</xdr:row>
      <xdr:rowOff>54841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0F9A0C6-5BCE-43C5-8071-F7328E10B7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581313</xdr:colOff>
      <xdr:row>5</xdr:row>
      <xdr:rowOff>181262</xdr:rowOff>
    </xdr:from>
    <xdr:to>
      <xdr:col>38</xdr:col>
      <xdr:colOff>79371</xdr:colOff>
      <xdr:row>26</xdr:row>
      <xdr:rowOff>49406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F2AE416B-B6AF-437B-8E91-C97E2B31D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63500</xdr:colOff>
      <xdr:row>37</xdr:row>
      <xdr:rowOff>125413</xdr:rowOff>
    </xdr:from>
    <xdr:to>
      <xdr:col>40</xdr:col>
      <xdr:colOff>444500</xdr:colOff>
      <xdr:row>66</xdr:row>
      <xdr:rowOff>163513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18BFF9D-0C12-4580-9734-FDE114D89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EPFL">
      <a:dk1>
        <a:sysClr val="windowText" lastClr="000000"/>
      </a:dk1>
      <a:lt1>
        <a:sysClr val="window" lastClr="FFFFFF"/>
      </a:lt1>
      <a:dk2>
        <a:srgbClr val="413D3A"/>
      </a:dk2>
      <a:lt2>
        <a:srgbClr val="CAC7C7"/>
      </a:lt2>
      <a:accent1>
        <a:srgbClr val="FF0000"/>
      </a:accent1>
      <a:accent2>
        <a:srgbClr val="B51F1F"/>
      </a:accent2>
      <a:accent3>
        <a:srgbClr val="00A79F"/>
      </a:accent3>
      <a:accent4>
        <a:srgbClr val="007480"/>
      </a:accent4>
      <a:accent5>
        <a:srgbClr val="FF0000"/>
      </a:accent5>
      <a:accent6>
        <a:srgbClr val="B51F1F"/>
      </a:accent6>
      <a:hlink>
        <a:srgbClr val="00A79F"/>
      </a:hlink>
      <a:folHlink>
        <a:srgbClr val="0074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8133-3521-406A-8ABC-7829CE7DE92B}">
  <sheetPr codeName="Tabelle1">
    <tabColor theme="2"/>
  </sheetPr>
  <dimension ref="A1:J24"/>
  <sheetViews>
    <sheetView view="pageLayout" zoomScale="85" zoomScaleNormal="70" zoomScalePageLayoutView="85" workbookViewId="0">
      <selection activeCell="G15" sqref="G15"/>
    </sheetView>
  </sheetViews>
  <sheetFormatPr baseColWidth="10" defaultColWidth="10.6640625" defaultRowHeight="14" x14ac:dyDescent="0.3"/>
  <cols>
    <col min="1" max="1" width="19.6640625" bestFit="1" customWidth="1"/>
    <col min="2" max="2" width="8.6640625" bestFit="1" customWidth="1"/>
    <col min="3" max="3" width="12.58203125" bestFit="1" customWidth="1"/>
    <col min="4" max="4" width="7.33203125" bestFit="1" customWidth="1"/>
    <col min="5" max="5" width="10.75" bestFit="1" customWidth="1"/>
    <col min="6" max="6" width="5.58203125" bestFit="1" customWidth="1"/>
    <col min="7" max="7" width="13.6640625" bestFit="1" customWidth="1"/>
    <col min="8" max="8" width="11.4140625" customWidth="1"/>
    <col min="9" max="9" width="20" bestFit="1" customWidth="1"/>
  </cols>
  <sheetData>
    <row r="1" spans="1:10" s="4" customFormat="1" ht="18" x14ac:dyDescent="0.4">
      <c r="A1" s="92" t="s">
        <v>7</v>
      </c>
      <c r="B1" s="92"/>
      <c r="C1" s="24"/>
      <c r="D1" s="24"/>
      <c r="E1" s="24"/>
      <c r="F1" s="24"/>
      <c r="G1" s="24"/>
      <c r="H1" s="24"/>
      <c r="I1" s="24"/>
      <c r="J1" s="24"/>
    </row>
    <row r="2" spans="1:10" s="4" customFormat="1" x14ac:dyDescent="0.3"/>
    <row r="3" spans="1:10" s="4" customFormat="1" x14ac:dyDescent="0.3">
      <c r="A3" s="91" t="s">
        <v>166</v>
      </c>
      <c r="B3" s="4" t="s">
        <v>167</v>
      </c>
    </row>
    <row r="4" spans="1:10" s="4" customFormat="1" x14ac:dyDescent="0.3">
      <c r="A4" s="91" t="s">
        <v>2</v>
      </c>
      <c r="B4" s="93">
        <f ca="1">TODAY()</f>
        <v>45308</v>
      </c>
      <c r="C4" s="93"/>
      <c r="D4" s="5"/>
      <c r="E4" s="5"/>
    </row>
    <row r="5" spans="1:10" s="4" customFormat="1" x14ac:dyDescent="0.3">
      <c r="A5" s="91" t="s">
        <v>3</v>
      </c>
      <c r="B5" s="4" t="s">
        <v>8</v>
      </c>
    </row>
    <row r="6" spans="1:10" s="4" customFormat="1" x14ac:dyDescent="0.3"/>
    <row r="7" spans="1:10" s="4" customFormat="1" x14ac:dyDescent="0.3">
      <c r="A7" s="25" t="s">
        <v>68</v>
      </c>
      <c r="B7" s="25"/>
      <c r="C7" s="25"/>
      <c r="D7" s="25"/>
      <c r="E7" s="25"/>
      <c r="F7" s="25"/>
      <c r="G7" s="25"/>
      <c r="H7" s="25"/>
      <c r="I7" s="25"/>
      <c r="J7" s="25"/>
    </row>
    <row r="8" spans="1:10" ht="14.5" thickBot="1" x14ac:dyDescent="0.35">
      <c r="A8" s="6" t="s">
        <v>9</v>
      </c>
      <c r="B8" s="6" t="s">
        <v>13</v>
      </c>
      <c r="C8" s="6" t="s">
        <v>66</v>
      </c>
      <c r="D8" s="6" t="s">
        <v>10</v>
      </c>
      <c r="E8" s="6" t="s">
        <v>140</v>
      </c>
      <c r="F8" s="6" t="s">
        <v>11</v>
      </c>
      <c r="G8" s="6" t="s">
        <v>138</v>
      </c>
      <c r="H8" s="6" t="s">
        <v>139</v>
      </c>
      <c r="I8" s="6" t="s">
        <v>11</v>
      </c>
      <c r="J8" s="6" t="s">
        <v>74</v>
      </c>
    </row>
    <row r="9" spans="1:10" ht="14.5" x14ac:dyDescent="0.35">
      <c r="A9" s="50" t="s">
        <v>12</v>
      </c>
      <c r="B9" s="50" t="s">
        <v>14</v>
      </c>
      <c r="C9" s="50" t="s">
        <v>67</v>
      </c>
      <c r="D9" s="51" t="s">
        <v>15</v>
      </c>
      <c r="E9" s="52">
        <v>1500000000</v>
      </c>
      <c r="F9" s="50" t="s">
        <v>16</v>
      </c>
      <c r="G9" s="50">
        <v>1</v>
      </c>
      <c r="H9" s="52">
        <f>E9/G9</f>
        <v>1500000000</v>
      </c>
      <c r="I9" s="50" t="s">
        <v>16</v>
      </c>
      <c r="J9" s="52" t="s">
        <v>75</v>
      </c>
    </row>
    <row r="10" spans="1:10" ht="14.5" x14ac:dyDescent="0.35">
      <c r="A10" s="50" t="s">
        <v>17</v>
      </c>
      <c r="B10" s="50" t="s">
        <v>14</v>
      </c>
      <c r="C10" s="50" t="s">
        <v>67</v>
      </c>
      <c r="D10" s="51" t="s">
        <v>18</v>
      </c>
      <c r="E10" s="52">
        <v>500000000</v>
      </c>
      <c r="F10" s="50" t="s">
        <v>16</v>
      </c>
      <c r="G10" s="50">
        <v>1</v>
      </c>
      <c r="H10" s="52">
        <f t="shared" ref="H10:H19" si="0">E10/G10</f>
        <v>500000000</v>
      </c>
      <c r="I10" s="50" t="s">
        <v>16</v>
      </c>
      <c r="J10" s="52" t="s">
        <v>75</v>
      </c>
    </row>
    <row r="11" spans="1:10" ht="16.5" x14ac:dyDescent="0.45">
      <c r="A11" s="50" t="s">
        <v>12</v>
      </c>
      <c r="B11" s="50" t="s">
        <v>14</v>
      </c>
      <c r="C11" s="50" t="s">
        <v>154</v>
      </c>
      <c r="D11" s="51" t="s">
        <v>155</v>
      </c>
      <c r="E11" s="52">
        <f>E9*0.5</f>
        <v>750000000</v>
      </c>
      <c r="F11" s="50" t="s">
        <v>16</v>
      </c>
      <c r="G11" s="50">
        <v>1</v>
      </c>
      <c r="H11" s="52">
        <f>E11/G11</f>
        <v>750000000</v>
      </c>
      <c r="I11" s="50" t="s">
        <v>16</v>
      </c>
      <c r="J11" s="52" t="s">
        <v>75</v>
      </c>
    </row>
    <row r="12" spans="1:10" ht="16.5" x14ac:dyDescent="0.45">
      <c r="A12" s="50" t="s">
        <v>17</v>
      </c>
      <c r="B12" s="50" t="s">
        <v>14</v>
      </c>
      <c r="C12" s="50" t="s">
        <v>154</v>
      </c>
      <c r="D12" s="51" t="s">
        <v>156</v>
      </c>
      <c r="E12" s="52">
        <f>E10*0.5</f>
        <v>250000000</v>
      </c>
      <c r="F12" s="50" t="s">
        <v>16</v>
      </c>
      <c r="G12" s="50">
        <v>1</v>
      </c>
      <c r="H12" s="52">
        <f t="shared" ref="H12" si="1">E12/G12</f>
        <v>250000000</v>
      </c>
      <c r="I12" s="50" t="s">
        <v>16</v>
      </c>
      <c r="J12" s="52" t="s">
        <v>75</v>
      </c>
    </row>
    <row r="13" spans="1:10" ht="14.5" x14ac:dyDescent="0.35">
      <c r="A13" s="50" t="s">
        <v>19</v>
      </c>
      <c r="B13" s="50" t="s">
        <v>14</v>
      </c>
      <c r="C13" s="50" t="s">
        <v>67</v>
      </c>
      <c r="D13" s="51" t="s">
        <v>20</v>
      </c>
      <c r="E13" s="52">
        <v>0.2</v>
      </c>
      <c r="F13" s="50" t="s">
        <v>21</v>
      </c>
      <c r="G13" s="50">
        <v>1</v>
      </c>
      <c r="H13" s="52">
        <f t="shared" si="0"/>
        <v>0.2</v>
      </c>
      <c r="I13" s="50" t="s">
        <v>21</v>
      </c>
      <c r="J13" s="52" t="s">
        <v>76</v>
      </c>
    </row>
    <row r="14" spans="1:10" ht="16" x14ac:dyDescent="0.4">
      <c r="A14" s="50" t="s">
        <v>22</v>
      </c>
      <c r="B14" s="50" t="s">
        <v>14</v>
      </c>
      <c r="C14" s="50" t="s">
        <v>67</v>
      </c>
      <c r="D14" s="51" t="s">
        <v>23</v>
      </c>
      <c r="E14" s="52">
        <v>3200000</v>
      </c>
      <c r="F14" s="50" t="s">
        <v>16</v>
      </c>
      <c r="G14" s="50">
        <v>2.5</v>
      </c>
      <c r="H14" s="52">
        <f t="shared" si="0"/>
        <v>1280000</v>
      </c>
      <c r="I14" s="50" t="s">
        <v>16</v>
      </c>
      <c r="J14" s="52" t="s">
        <v>75</v>
      </c>
    </row>
    <row r="15" spans="1:10" ht="16" x14ac:dyDescent="0.4">
      <c r="A15" s="50" t="s">
        <v>22</v>
      </c>
      <c r="B15" s="50" t="s">
        <v>24</v>
      </c>
      <c r="C15" s="50" t="s">
        <v>67</v>
      </c>
      <c r="D15" s="51" t="s">
        <v>25</v>
      </c>
      <c r="E15" s="52">
        <v>10000000</v>
      </c>
      <c r="F15" s="50" t="s">
        <v>16</v>
      </c>
      <c r="G15" s="50">
        <v>2.5</v>
      </c>
      <c r="H15" s="52">
        <f t="shared" si="0"/>
        <v>4000000</v>
      </c>
      <c r="I15" s="50" t="s">
        <v>16</v>
      </c>
      <c r="J15" s="52" t="s">
        <v>76</v>
      </c>
    </row>
    <row r="16" spans="1:10" ht="16" x14ac:dyDescent="0.4">
      <c r="A16" s="50" t="s">
        <v>22</v>
      </c>
      <c r="B16" s="50" t="s">
        <v>26</v>
      </c>
      <c r="C16" s="50" t="s">
        <v>67</v>
      </c>
      <c r="D16" s="51" t="s">
        <v>27</v>
      </c>
      <c r="E16" s="52">
        <v>1700000</v>
      </c>
      <c r="F16" s="50" t="s">
        <v>16</v>
      </c>
      <c r="G16" s="50">
        <v>2.5</v>
      </c>
      <c r="H16" s="52">
        <f t="shared" si="0"/>
        <v>680000</v>
      </c>
      <c r="I16" s="50" t="s">
        <v>16</v>
      </c>
      <c r="J16" s="52" t="s">
        <v>76</v>
      </c>
    </row>
    <row r="17" spans="1:10" ht="14.5" x14ac:dyDescent="0.35">
      <c r="A17" s="50" t="s">
        <v>28</v>
      </c>
      <c r="B17" s="50" t="s">
        <v>29</v>
      </c>
      <c r="C17" s="50" t="s">
        <v>67</v>
      </c>
      <c r="D17" s="51" t="s">
        <v>30</v>
      </c>
      <c r="E17" s="52">
        <v>180000</v>
      </c>
      <c r="F17" s="50" t="s">
        <v>16</v>
      </c>
      <c r="G17" s="50">
        <v>2.5</v>
      </c>
      <c r="H17" s="52">
        <f t="shared" si="0"/>
        <v>72000</v>
      </c>
      <c r="I17" s="50" t="s">
        <v>16</v>
      </c>
      <c r="J17" s="52" t="s">
        <v>76</v>
      </c>
    </row>
    <row r="18" spans="1:10" ht="14.5" x14ac:dyDescent="0.35">
      <c r="A18" s="50" t="s">
        <v>31</v>
      </c>
      <c r="B18" s="50" t="s">
        <v>29</v>
      </c>
      <c r="C18" s="50" t="s">
        <v>67</v>
      </c>
      <c r="D18" s="51" t="s">
        <v>32</v>
      </c>
      <c r="E18" s="52">
        <v>0.5</v>
      </c>
      <c r="F18" s="50" t="s">
        <v>21</v>
      </c>
      <c r="G18" s="50">
        <v>1</v>
      </c>
      <c r="H18" s="52">
        <f t="shared" si="0"/>
        <v>0.5</v>
      </c>
      <c r="I18" s="50" t="s">
        <v>21</v>
      </c>
      <c r="J18" s="52" t="s">
        <v>76</v>
      </c>
    </row>
    <row r="19" spans="1:10" ht="16.5" x14ac:dyDescent="0.45">
      <c r="A19" s="50" t="s">
        <v>90</v>
      </c>
      <c r="B19" s="50" t="s">
        <v>14</v>
      </c>
      <c r="C19" s="50" t="s">
        <v>67</v>
      </c>
      <c r="D19" s="51" t="s">
        <v>91</v>
      </c>
      <c r="E19" s="52">
        <v>18000</v>
      </c>
      <c r="F19" s="50" t="s">
        <v>93</v>
      </c>
      <c r="G19" s="50">
        <v>1</v>
      </c>
      <c r="H19" s="52">
        <f t="shared" si="0"/>
        <v>18000</v>
      </c>
      <c r="I19" s="50" t="s">
        <v>93</v>
      </c>
      <c r="J19" s="52" t="s">
        <v>92</v>
      </c>
    </row>
    <row r="20" spans="1:10" ht="14.5" x14ac:dyDescent="0.35">
      <c r="A20" s="4"/>
      <c r="B20" s="4"/>
      <c r="C20" s="4"/>
      <c r="D20" s="11"/>
    </row>
    <row r="21" spans="1:10" s="4" customFormat="1" x14ac:dyDescent="0.3">
      <c r="A21" s="25" t="s">
        <v>69</v>
      </c>
      <c r="B21" s="25"/>
      <c r="C21" s="25"/>
      <c r="D21" s="25"/>
      <c r="E21" s="25"/>
      <c r="F21" s="25"/>
      <c r="G21" s="25"/>
      <c r="H21" s="25"/>
      <c r="I21" s="25"/>
      <c r="J21" s="25"/>
    </row>
    <row r="22" spans="1:10" ht="14.5" thickBot="1" x14ac:dyDescent="0.35">
      <c r="A22" s="6" t="s">
        <v>9</v>
      </c>
      <c r="B22" s="6" t="s">
        <v>13</v>
      </c>
      <c r="C22" s="6" t="s">
        <v>66</v>
      </c>
      <c r="D22" s="6" t="s">
        <v>10</v>
      </c>
      <c r="E22" s="6" t="s">
        <v>33</v>
      </c>
      <c r="F22" s="6" t="s">
        <v>11</v>
      </c>
      <c r="G22" s="6" t="s">
        <v>34</v>
      </c>
      <c r="H22" s="6" t="s">
        <v>11</v>
      </c>
      <c r="I22" s="6" t="s">
        <v>74</v>
      </c>
    </row>
    <row r="23" spans="1:10" ht="16" x14ac:dyDescent="0.4">
      <c r="A23" s="50" t="s">
        <v>70</v>
      </c>
      <c r="B23" s="50" t="s">
        <v>14</v>
      </c>
      <c r="C23" s="50" t="s">
        <v>71</v>
      </c>
      <c r="D23" s="51" t="s">
        <v>72</v>
      </c>
      <c r="E23" s="52">
        <v>100000</v>
      </c>
      <c r="F23" s="50" t="s">
        <v>16</v>
      </c>
      <c r="G23" s="52">
        <f>ROUND(E23/1000,2)*1000</f>
        <v>100000</v>
      </c>
      <c r="H23" s="50" t="s">
        <v>16</v>
      </c>
      <c r="I23" s="52" t="s">
        <v>77</v>
      </c>
    </row>
    <row r="24" spans="1:10" ht="16" x14ac:dyDescent="0.4">
      <c r="A24" s="50" t="s">
        <v>70</v>
      </c>
      <c r="B24" s="50" t="s">
        <v>14</v>
      </c>
      <c r="C24" s="50" t="s">
        <v>67</v>
      </c>
      <c r="D24" s="51" t="s">
        <v>73</v>
      </c>
      <c r="E24" s="52">
        <f>1.3*E23</f>
        <v>130000</v>
      </c>
      <c r="F24" s="50" t="s">
        <v>16</v>
      </c>
      <c r="G24" s="52">
        <f>ROUND(E24/1000,2)*1000</f>
        <v>130000</v>
      </c>
      <c r="H24" s="50" t="s">
        <v>16</v>
      </c>
      <c r="I24" s="52" t="s">
        <v>78</v>
      </c>
    </row>
  </sheetData>
  <mergeCells count="2">
    <mergeCell ref="A1:B1"/>
    <mergeCell ref="B4:C4"/>
  </mergeCells>
  <pageMargins left="0.7" right="0.7" top="0.78740157499999996" bottom="0.78740157499999996" header="0.3" footer="0.3"/>
  <pageSetup paperSize="9" scale="95" orientation="landscape" r:id="rId1"/>
  <headerFooter>
    <oddHeader>&amp;LMaster Thesis 2023/2024&amp;CSt. Lawrence Parish House,
Petrinja, Croatia&amp;R&amp;G</oddHeader>
    <oddFooter>&amp;L&amp;A&amp;CModel: Initial and Retrofitted State&amp;R&amp;P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602D1-8552-4AEA-80A9-0AF89E0A5BEE}">
  <sheetPr codeName="Tabelle2">
    <tabColor theme="6"/>
  </sheetPr>
  <dimension ref="A1:AB67"/>
  <sheetViews>
    <sheetView view="pageLayout" zoomScaleNormal="100" workbookViewId="0">
      <selection activeCell="B3" sqref="B3"/>
    </sheetView>
  </sheetViews>
  <sheetFormatPr baseColWidth="10" defaultColWidth="8.6640625" defaultRowHeight="14" x14ac:dyDescent="0.3"/>
  <cols>
    <col min="1" max="1" width="11.83203125" style="9" bestFit="1" customWidth="1"/>
    <col min="2" max="2" width="10.33203125" style="9" bestFit="1" customWidth="1"/>
    <col min="3" max="3" width="9.5" style="9" bestFit="1" customWidth="1"/>
    <col min="4" max="9" width="8.33203125" customWidth="1"/>
    <col min="10" max="10" width="5.5" bestFit="1" customWidth="1"/>
    <col min="11" max="11" width="4.75" bestFit="1" customWidth="1"/>
    <col min="12" max="12" width="9.25" bestFit="1" customWidth="1"/>
    <col min="13" max="13" width="6" bestFit="1" customWidth="1"/>
    <col min="14" max="14" width="8" bestFit="1" customWidth="1"/>
    <col min="15" max="15" width="7.08203125" bestFit="1" customWidth="1"/>
    <col min="16" max="16" width="7.5" bestFit="1" customWidth="1"/>
    <col min="17" max="23" width="14.33203125" customWidth="1"/>
    <col min="24" max="24" width="11.75" customWidth="1"/>
  </cols>
  <sheetData>
    <row r="1" spans="1:23" ht="18" x14ac:dyDescent="0.4">
      <c r="A1" s="22" t="s">
        <v>125</v>
      </c>
      <c r="B1" s="16"/>
      <c r="C1" s="16"/>
      <c r="D1" s="16"/>
      <c r="E1" s="16"/>
      <c r="F1" s="16"/>
      <c r="G1" s="16"/>
      <c r="H1" s="16"/>
      <c r="I1" s="16"/>
      <c r="N1" s="3"/>
      <c r="P1" s="3"/>
      <c r="Q1" s="3"/>
      <c r="R1" s="3"/>
      <c r="S1" s="3"/>
      <c r="T1" s="3"/>
      <c r="U1" s="3"/>
      <c r="V1" s="3"/>
      <c r="W1" s="3"/>
    </row>
    <row r="2" spans="1:23" s="4" customFormat="1" x14ac:dyDescent="0.3"/>
    <row r="3" spans="1:23" s="4" customFormat="1" x14ac:dyDescent="0.3">
      <c r="A3" s="91" t="s">
        <v>166</v>
      </c>
      <c r="B3" s="4" t="s">
        <v>167</v>
      </c>
    </row>
    <row r="4" spans="1:23" s="4" customFormat="1" x14ac:dyDescent="0.3">
      <c r="A4" s="91" t="s">
        <v>2</v>
      </c>
      <c r="B4" s="49">
        <f ca="1">TODAY()</f>
        <v>45308</v>
      </c>
      <c r="C4" s="5"/>
      <c r="D4" s="5"/>
      <c r="E4" s="5"/>
    </row>
    <row r="5" spans="1:23" s="4" customFormat="1" x14ac:dyDescent="0.3">
      <c r="A5" s="91" t="s">
        <v>3</v>
      </c>
      <c r="B5" s="4" t="s">
        <v>128</v>
      </c>
    </row>
    <row r="6" spans="1:23" s="4" customFormat="1" x14ac:dyDescent="0.3"/>
    <row r="7" spans="1:23" ht="14.5" thickBot="1" x14ac:dyDescent="0.35">
      <c r="A7" s="20" t="s">
        <v>79</v>
      </c>
      <c r="B7" s="21" t="s">
        <v>80</v>
      </c>
      <c r="C7" s="21" t="s">
        <v>81</v>
      </c>
      <c r="D7" s="36" t="s">
        <v>82</v>
      </c>
      <c r="E7" s="36"/>
      <c r="F7" s="36"/>
      <c r="G7" s="36" t="s">
        <v>83</v>
      </c>
      <c r="H7" s="36"/>
      <c r="I7" s="36"/>
    </row>
    <row r="8" spans="1:23" x14ac:dyDescent="0.3">
      <c r="A8" s="46" t="s">
        <v>36</v>
      </c>
      <c r="B8"/>
      <c r="C8"/>
      <c r="D8" s="45" t="s">
        <v>122</v>
      </c>
      <c r="E8" s="45" t="s">
        <v>123</v>
      </c>
      <c r="F8" s="45" t="s">
        <v>124</v>
      </c>
      <c r="G8" s="45" t="s">
        <v>122</v>
      </c>
      <c r="H8" s="45" t="s">
        <v>123</v>
      </c>
      <c r="I8" s="45" t="s">
        <v>124</v>
      </c>
    </row>
    <row r="9" spans="1:23" x14ac:dyDescent="0.3">
      <c r="A9" s="53">
        <v>5</v>
      </c>
      <c r="B9" s="53">
        <v>7</v>
      </c>
      <c r="C9" s="53">
        <v>1</v>
      </c>
      <c r="D9" s="57">
        <v>1.7</v>
      </c>
      <c r="E9" s="57">
        <v>2.08</v>
      </c>
      <c r="F9" s="57">
        <v>0.55000000000000004</v>
      </c>
      <c r="G9" s="57">
        <f>IF(F9=0.55,3.4,2.7)</f>
        <v>3.4</v>
      </c>
      <c r="H9" s="57">
        <f>E9</f>
        <v>2.08</v>
      </c>
      <c r="I9" s="57">
        <f>F9</f>
        <v>0.55000000000000004</v>
      </c>
    </row>
    <row r="10" spans="1:23" x14ac:dyDescent="0.3">
      <c r="A10" s="53">
        <v>6</v>
      </c>
      <c r="B10" s="53">
        <v>8</v>
      </c>
      <c r="C10" s="53">
        <v>2</v>
      </c>
      <c r="D10" s="57">
        <v>1.7</v>
      </c>
      <c r="E10" s="57">
        <v>2.5</v>
      </c>
      <c r="F10" s="57">
        <v>0.55000000000000004</v>
      </c>
      <c r="G10" s="57">
        <f t="shared" ref="G10:G31" si="0">IF(F10=0.55,3.4,2.7)</f>
        <v>3.4</v>
      </c>
      <c r="H10" s="57">
        <f t="shared" ref="H10:H19" si="1">E10</f>
        <v>2.5</v>
      </c>
      <c r="I10" s="57">
        <f t="shared" ref="I10:I19" si="2">F10</f>
        <v>0.55000000000000004</v>
      </c>
    </row>
    <row r="11" spans="1:23" x14ac:dyDescent="0.3">
      <c r="A11" s="53">
        <v>7</v>
      </c>
      <c r="B11" s="53">
        <v>9</v>
      </c>
      <c r="C11" s="53">
        <v>3</v>
      </c>
      <c r="D11" s="57">
        <v>1.7</v>
      </c>
      <c r="E11" s="57">
        <v>3.2</v>
      </c>
      <c r="F11" s="57">
        <v>0.55000000000000004</v>
      </c>
      <c r="G11" s="57">
        <f t="shared" si="0"/>
        <v>3.4</v>
      </c>
      <c r="H11" s="57">
        <f t="shared" si="1"/>
        <v>3.2</v>
      </c>
      <c r="I11" s="57">
        <f t="shared" si="2"/>
        <v>0.55000000000000004</v>
      </c>
    </row>
    <row r="12" spans="1:23" x14ac:dyDescent="0.3">
      <c r="A12" s="53">
        <v>9</v>
      </c>
      <c r="B12" s="53">
        <v>11</v>
      </c>
      <c r="C12" s="53">
        <v>5</v>
      </c>
      <c r="D12" s="57">
        <v>1.7</v>
      </c>
      <c r="E12" s="57">
        <v>2.5</v>
      </c>
      <c r="F12" s="57">
        <v>0.55000000000000004</v>
      </c>
      <c r="G12" s="57">
        <f t="shared" si="0"/>
        <v>3.4</v>
      </c>
      <c r="H12" s="57">
        <f t="shared" si="1"/>
        <v>2.5</v>
      </c>
      <c r="I12" s="57">
        <f t="shared" si="2"/>
        <v>0.55000000000000004</v>
      </c>
    </row>
    <row r="13" spans="1:23" x14ac:dyDescent="0.3">
      <c r="A13" s="53">
        <v>10</v>
      </c>
      <c r="B13" s="53">
        <v>12</v>
      </c>
      <c r="C13" s="53">
        <v>6</v>
      </c>
      <c r="D13" s="57">
        <v>1.7</v>
      </c>
      <c r="E13" s="57">
        <v>2.08</v>
      </c>
      <c r="F13" s="57">
        <v>0.55000000000000004</v>
      </c>
      <c r="G13" s="57">
        <f t="shared" si="0"/>
        <v>3.4</v>
      </c>
      <c r="H13" s="57">
        <f t="shared" si="1"/>
        <v>2.08</v>
      </c>
      <c r="I13" s="57">
        <f t="shared" si="2"/>
        <v>0.55000000000000004</v>
      </c>
    </row>
    <row r="14" spans="1:23" x14ac:dyDescent="0.3">
      <c r="A14" s="53">
        <v>15</v>
      </c>
      <c r="B14" s="53">
        <v>13</v>
      </c>
      <c r="C14" s="53">
        <v>7</v>
      </c>
      <c r="D14" s="57">
        <v>1.4</v>
      </c>
      <c r="E14" s="57">
        <v>2.08</v>
      </c>
      <c r="F14" s="57">
        <v>0.7</v>
      </c>
      <c r="G14" s="57">
        <f t="shared" si="0"/>
        <v>2.7</v>
      </c>
      <c r="H14" s="57">
        <f t="shared" si="1"/>
        <v>2.08</v>
      </c>
      <c r="I14" s="57">
        <f t="shared" si="2"/>
        <v>0.7</v>
      </c>
    </row>
    <row r="15" spans="1:23" x14ac:dyDescent="0.3">
      <c r="A15" s="53">
        <v>16</v>
      </c>
      <c r="B15" s="53">
        <v>14</v>
      </c>
      <c r="C15" s="53">
        <v>8</v>
      </c>
      <c r="D15" s="57">
        <v>1.4</v>
      </c>
      <c r="E15" s="57">
        <v>2.5</v>
      </c>
      <c r="F15" s="57">
        <v>0.7</v>
      </c>
      <c r="G15" s="57">
        <f t="shared" si="0"/>
        <v>2.7</v>
      </c>
      <c r="H15" s="57">
        <f t="shared" si="1"/>
        <v>2.5</v>
      </c>
      <c r="I15" s="57">
        <f t="shared" si="2"/>
        <v>0.7</v>
      </c>
    </row>
    <row r="16" spans="1:23" x14ac:dyDescent="0.3">
      <c r="A16" s="53">
        <v>17</v>
      </c>
      <c r="B16" s="53">
        <v>15</v>
      </c>
      <c r="C16" s="53">
        <v>9</v>
      </c>
      <c r="D16" s="57">
        <v>2.2000000000000002</v>
      </c>
      <c r="E16" s="57">
        <v>0.85</v>
      </c>
      <c r="F16" s="57">
        <v>0.7</v>
      </c>
      <c r="G16" s="57">
        <f t="shared" si="0"/>
        <v>2.7</v>
      </c>
      <c r="H16" s="57">
        <f t="shared" si="1"/>
        <v>0.85</v>
      </c>
      <c r="I16" s="57">
        <f t="shared" si="2"/>
        <v>0.7</v>
      </c>
    </row>
    <row r="17" spans="1:9" x14ac:dyDescent="0.3">
      <c r="A17" s="53">
        <v>18</v>
      </c>
      <c r="B17" s="53">
        <v>16</v>
      </c>
      <c r="C17" s="53">
        <v>9</v>
      </c>
      <c r="D17" s="57">
        <v>2.2000000000000002</v>
      </c>
      <c r="E17" s="57">
        <v>0.85</v>
      </c>
      <c r="F17" s="57">
        <v>0.7</v>
      </c>
      <c r="G17" s="57">
        <f t="shared" si="0"/>
        <v>2.7</v>
      </c>
      <c r="H17" s="57">
        <f t="shared" si="1"/>
        <v>0.85</v>
      </c>
      <c r="I17" s="57">
        <f t="shared" si="2"/>
        <v>0.7</v>
      </c>
    </row>
    <row r="18" spans="1:9" x14ac:dyDescent="0.3">
      <c r="A18" s="53">
        <v>19</v>
      </c>
      <c r="B18" s="53">
        <v>17</v>
      </c>
      <c r="C18" s="53">
        <v>11</v>
      </c>
      <c r="D18" s="57">
        <v>1.4</v>
      </c>
      <c r="E18" s="57">
        <v>2.5</v>
      </c>
      <c r="F18" s="57">
        <v>0.7</v>
      </c>
      <c r="G18" s="57">
        <f t="shared" si="0"/>
        <v>2.7</v>
      </c>
      <c r="H18" s="57">
        <f t="shared" si="1"/>
        <v>2.5</v>
      </c>
      <c r="I18" s="57">
        <f t="shared" si="2"/>
        <v>0.7</v>
      </c>
    </row>
    <row r="19" spans="1:9" x14ac:dyDescent="0.3">
      <c r="A19" s="53">
        <v>20</v>
      </c>
      <c r="B19" s="53">
        <v>18</v>
      </c>
      <c r="C19" s="53">
        <v>12</v>
      </c>
      <c r="D19" s="57">
        <v>1.4</v>
      </c>
      <c r="E19" s="57">
        <v>2.08</v>
      </c>
      <c r="F19" s="57">
        <v>0.7</v>
      </c>
      <c r="G19" s="57">
        <f t="shared" si="0"/>
        <v>2.7</v>
      </c>
      <c r="H19" s="57">
        <f t="shared" si="1"/>
        <v>2.08</v>
      </c>
      <c r="I19" s="57">
        <f t="shared" si="2"/>
        <v>0.7</v>
      </c>
    </row>
    <row r="20" spans="1:9" x14ac:dyDescent="0.3">
      <c r="A20" s="10"/>
      <c r="B20" s="10"/>
      <c r="C20" s="10"/>
      <c r="D20" s="1"/>
      <c r="E20" s="1"/>
      <c r="F20" s="1"/>
      <c r="G20" s="1"/>
      <c r="H20" s="1"/>
      <c r="I20" s="1"/>
    </row>
    <row r="21" spans="1:9" x14ac:dyDescent="0.3">
      <c r="A21" s="48" t="s">
        <v>38</v>
      </c>
      <c r="B21" s="10"/>
      <c r="C21" s="10"/>
      <c r="D21" s="1"/>
      <c r="E21" s="1"/>
      <c r="F21" s="1"/>
      <c r="G21" s="1"/>
      <c r="H21" s="1"/>
      <c r="I21" s="1"/>
    </row>
    <row r="22" spans="1:9" x14ac:dyDescent="0.3">
      <c r="A22" s="53">
        <v>42</v>
      </c>
      <c r="B22" s="53">
        <v>75</v>
      </c>
      <c r="C22" s="53">
        <v>72</v>
      </c>
      <c r="D22" s="57">
        <v>1.7</v>
      </c>
      <c r="E22" s="57">
        <v>2.08</v>
      </c>
      <c r="F22" s="57">
        <v>0.55000000000000004</v>
      </c>
      <c r="G22" s="57">
        <f t="shared" si="0"/>
        <v>3.4</v>
      </c>
      <c r="H22" s="57">
        <f t="shared" ref="H22:H28" si="3">E22</f>
        <v>2.08</v>
      </c>
      <c r="I22" s="57">
        <f t="shared" ref="I22:I28" si="4">F22</f>
        <v>0.55000000000000004</v>
      </c>
    </row>
    <row r="23" spans="1:9" x14ac:dyDescent="0.3">
      <c r="A23" s="53">
        <v>43</v>
      </c>
      <c r="B23" s="53">
        <v>32</v>
      </c>
      <c r="C23" s="53">
        <v>28</v>
      </c>
      <c r="D23" s="57">
        <v>1.7</v>
      </c>
      <c r="E23" s="57">
        <v>2.7</v>
      </c>
      <c r="F23" s="57">
        <v>0.55000000000000004</v>
      </c>
      <c r="G23" s="57">
        <f t="shared" si="0"/>
        <v>3.4</v>
      </c>
      <c r="H23" s="57">
        <f t="shared" si="3"/>
        <v>2.7</v>
      </c>
      <c r="I23" s="57">
        <f t="shared" si="4"/>
        <v>0.55000000000000004</v>
      </c>
    </row>
    <row r="24" spans="1:9" x14ac:dyDescent="0.3">
      <c r="A24" s="53">
        <v>44</v>
      </c>
      <c r="B24" s="53">
        <v>33</v>
      </c>
      <c r="C24" s="53">
        <v>29</v>
      </c>
      <c r="D24" s="57">
        <v>1.7</v>
      </c>
      <c r="E24" s="57">
        <v>2.8</v>
      </c>
      <c r="F24" s="57">
        <v>0.55000000000000004</v>
      </c>
      <c r="G24" s="57">
        <f t="shared" si="0"/>
        <v>3.4</v>
      </c>
      <c r="H24" s="57">
        <f t="shared" si="3"/>
        <v>2.8</v>
      </c>
      <c r="I24" s="57">
        <f t="shared" si="4"/>
        <v>0.55000000000000004</v>
      </c>
    </row>
    <row r="25" spans="1:9" x14ac:dyDescent="0.3">
      <c r="A25" s="53">
        <v>45</v>
      </c>
      <c r="B25" s="53">
        <v>34</v>
      </c>
      <c r="C25" s="53">
        <v>30</v>
      </c>
      <c r="D25" s="57">
        <v>1.7</v>
      </c>
      <c r="E25" s="57">
        <v>2.7</v>
      </c>
      <c r="F25" s="57">
        <v>0.55000000000000004</v>
      </c>
      <c r="G25" s="57">
        <f t="shared" si="0"/>
        <v>3.4</v>
      </c>
      <c r="H25" s="57">
        <f t="shared" si="3"/>
        <v>2.7</v>
      </c>
      <c r="I25" s="57">
        <f t="shared" si="4"/>
        <v>0.55000000000000004</v>
      </c>
    </row>
    <row r="26" spans="1:9" x14ac:dyDescent="0.3">
      <c r="A26" s="53">
        <v>46</v>
      </c>
      <c r="B26" s="53">
        <v>35</v>
      </c>
      <c r="C26" s="53">
        <v>31</v>
      </c>
      <c r="D26" s="57">
        <v>1.7</v>
      </c>
      <c r="E26" s="57">
        <v>2.08</v>
      </c>
      <c r="F26" s="57">
        <v>0.55000000000000004</v>
      </c>
      <c r="G26" s="57">
        <f t="shared" si="0"/>
        <v>3.4</v>
      </c>
      <c r="H26" s="57">
        <f t="shared" si="3"/>
        <v>2.08</v>
      </c>
      <c r="I26" s="57">
        <f t="shared" si="4"/>
        <v>0.55000000000000004</v>
      </c>
    </row>
    <row r="27" spans="1:9" x14ac:dyDescent="0.3">
      <c r="A27" s="53">
        <v>51</v>
      </c>
      <c r="B27" s="53">
        <v>78</v>
      </c>
      <c r="C27" s="53">
        <v>75</v>
      </c>
      <c r="D27" s="57">
        <v>1.4</v>
      </c>
      <c r="E27" s="57">
        <v>2.08</v>
      </c>
      <c r="F27" s="57">
        <v>0.7</v>
      </c>
      <c r="G27" s="57">
        <f t="shared" si="0"/>
        <v>2.7</v>
      </c>
      <c r="H27" s="57">
        <f t="shared" si="3"/>
        <v>2.08</v>
      </c>
      <c r="I27" s="57">
        <f t="shared" si="4"/>
        <v>0.7</v>
      </c>
    </row>
    <row r="28" spans="1:9" x14ac:dyDescent="0.3">
      <c r="A28" s="53">
        <v>52</v>
      </c>
      <c r="B28" s="53">
        <v>36</v>
      </c>
      <c r="C28" s="53">
        <v>32</v>
      </c>
      <c r="D28" s="57">
        <v>1.4</v>
      </c>
      <c r="E28" s="57">
        <v>2.7</v>
      </c>
      <c r="F28" s="57">
        <v>0.7</v>
      </c>
      <c r="G28" s="57">
        <f t="shared" si="0"/>
        <v>2.7</v>
      </c>
      <c r="H28" s="57">
        <f t="shared" si="3"/>
        <v>2.7</v>
      </c>
      <c r="I28" s="57">
        <f t="shared" si="4"/>
        <v>0.7</v>
      </c>
    </row>
    <row r="29" spans="1:9" x14ac:dyDescent="0.3">
      <c r="A29" s="53">
        <v>53</v>
      </c>
      <c r="B29" s="53">
        <v>37</v>
      </c>
      <c r="C29" s="53">
        <v>33</v>
      </c>
      <c r="D29" s="57">
        <v>1.4</v>
      </c>
      <c r="E29" s="57">
        <v>2.8</v>
      </c>
      <c r="F29" s="57">
        <v>0.7</v>
      </c>
      <c r="G29" s="57">
        <f t="shared" si="0"/>
        <v>2.7</v>
      </c>
      <c r="H29" s="57">
        <f t="shared" ref="H29:H31" si="5">E29</f>
        <v>2.8</v>
      </c>
      <c r="I29" s="57">
        <f t="shared" ref="I29:I31" si="6">F29</f>
        <v>0.7</v>
      </c>
    </row>
    <row r="30" spans="1:9" x14ac:dyDescent="0.3">
      <c r="A30" s="53">
        <v>54</v>
      </c>
      <c r="B30" s="53">
        <v>38</v>
      </c>
      <c r="C30" s="53">
        <v>34</v>
      </c>
      <c r="D30" s="57">
        <v>1.4</v>
      </c>
      <c r="E30" s="57">
        <v>2.7</v>
      </c>
      <c r="F30" s="57">
        <v>0.7</v>
      </c>
      <c r="G30" s="57">
        <f t="shared" si="0"/>
        <v>2.7</v>
      </c>
      <c r="H30" s="57">
        <f t="shared" si="5"/>
        <v>2.7</v>
      </c>
      <c r="I30" s="57">
        <f t="shared" si="6"/>
        <v>0.7</v>
      </c>
    </row>
    <row r="31" spans="1:9" x14ac:dyDescent="0.3">
      <c r="A31" s="53">
        <v>55</v>
      </c>
      <c r="B31" s="53">
        <v>39</v>
      </c>
      <c r="C31" s="53">
        <v>35</v>
      </c>
      <c r="D31" s="57">
        <v>1.4</v>
      </c>
      <c r="E31" s="57">
        <v>2.08</v>
      </c>
      <c r="F31" s="57">
        <v>0.7</v>
      </c>
      <c r="G31" s="57">
        <f t="shared" si="0"/>
        <v>2.7</v>
      </c>
      <c r="H31" s="57">
        <f t="shared" si="5"/>
        <v>2.08</v>
      </c>
      <c r="I31" s="57">
        <f t="shared" si="6"/>
        <v>0.7</v>
      </c>
    </row>
    <row r="32" spans="1:9" x14ac:dyDescent="0.3">
      <c r="A32" s="10"/>
      <c r="B32" s="10"/>
      <c r="C32" s="10"/>
      <c r="D32" s="2"/>
      <c r="E32" s="2"/>
      <c r="F32" s="2"/>
      <c r="G32" s="2"/>
    </row>
    <row r="33" spans="1:9" x14ac:dyDescent="0.3">
      <c r="A33" s="48" t="s">
        <v>40</v>
      </c>
      <c r="B33" s="10"/>
      <c r="C33" s="10"/>
      <c r="D33" s="2"/>
      <c r="E33" s="2"/>
      <c r="F33" s="2"/>
      <c r="H33" s="2"/>
      <c r="I33" s="2"/>
    </row>
    <row r="34" spans="1:9" x14ac:dyDescent="0.3">
      <c r="A34" s="55">
        <v>75</v>
      </c>
      <c r="B34" s="55">
        <v>89</v>
      </c>
      <c r="C34" s="55">
        <v>88</v>
      </c>
      <c r="D34" s="56">
        <v>2</v>
      </c>
      <c r="E34" s="56">
        <v>2.8</v>
      </c>
      <c r="F34" s="56">
        <v>0.4</v>
      </c>
      <c r="G34" s="56">
        <f>IF(F34=0.4,3.4,2.7)</f>
        <v>3.4</v>
      </c>
      <c r="H34" s="56">
        <f t="shared" ref="H34:H39" si="7">E34</f>
        <v>2.8</v>
      </c>
      <c r="I34" s="56">
        <f t="shared" ref="I34:I39" si="8">F34</f>
        <v>0.4</v>
      </c>
    </row>
    <row r="35" spans="1:9" x14ac:dyDescent="0.3">
      <c r="A35" s="55" t="s">
        <v>85</v>
      </c>
      <c r="B35" s="55">
        <v>46</v>
      </c>
      <c r="C35" s="55">
        <v>43</v>
      </c>
      <c r="D35" s="56">
        <v>2</v>
      </c>
      <c r="E35" s="56">
        <f>3.48+2.66</f>
        <v>6.1400000000000006</v>
      </c>
      <c r="F35" s="56">
        <v>0.4</v>
      </c>
      <c r="G35" s="56">
        <f t="shared" ref="G35:G43" si="9">IF(F35=0.4,3.4,2.7)</f>
        <v>3.4</v>
      </c>
      <c r="H35" s="56">
        <f t="shared" si="7"/>
        <v>6.1400000000000006</v>
      </c>
      <c r="I35" s="56">
        <f t="shared" si="8"/>
        <v>0.4</v>
      </c>
    </row>
    <row r="36" spans="1:9" x14ac:dyDescent="0.3">
      <c r="A36" s="55"/>
      <c r="B36" s="55">
        <v>47</v>
      </c>
      <c r="C36" s="55">
        <v>44</v>
      </c>
      <c r="D36" s="56"/>
      <c r="E36" s="56"/>
      <c r="F36" s="56"/>
      <c r="G36" s="56"/>
      <c r="H36" s="56"/>
      <c r="I36" s="56"/>
    </row>
    <row r="37" spans="1:9" x14ac:dyDescent="0.3">
      <c r="A37" s="55">
        <v>78</v>
      </c>
      <c r="B37" s="55">
        <v>48</v>
      </c>
      <c r="C37" s="55">
        <v>45</v>
      </c>
      <c r="D37" s="56">
        <v>2</v>
      </c>
      <c r="E37" s="56">
        <v>1.54</v>
      </c>
      <c r="F37" s="56">
        <v>0.4</v>
      </c>
      <c r="G37" s="56">
        <f t="shared" si="9"/>
        <v>3.4</v>
      </c>
      <c r="H37" s="56">
        <f t="shared" si="7"/>
        <v>1.54</v>
      </c>
      <c r="I37" s="56">
        <f t="shared" si="8"/>
        <v>0.4</v>
      </c>
    </row>
    <row r="38" spans="1:9" x14ac:dyDescent="0.3">
      <c r="A38" s="55">
        <v>79</v>
      </c>
      <c r="B38" s="55">
        <v>74</v>
      </c>
      <c r="C38" s="55">
        <v>71</v>
      </c>
      <c r="D38" s="56">
        <v>2</v>
      </c>
      <c r="E38" s="56">
        <v>2.7</v>
      </c>
      <c r="F38" s="56">
        <v>0.4</v>
      </c>
      <c r="G38" s="56">
        <f t="shared" si="9"/>
        <v>3.4</v>
      </c>
      <c r="H38" s="56">
        <f t="shared" si="7"/>
        <v>2.7</v>
      </c>
      <c r="I38" s="56">
        <f t="shared" si="8"/>
        <v>0.4</v>
      </c>
    </row>
    <row r="39" spans="1:9" x14ac:dyDescent="0.3">
      <c r="A39" s="55">
        <v>83</v>
      </c>
      <c r="B39" s="55">
        <v>90</v>
      </c>
      <c r="C39" s="55">
        <v>89</v>
      </c>
      <c r="D39" s="56">
        <v>2</v>
      </c>
      <c r="E39" s="56">
        <v>2.8</v>
      </c>
      <c r="F39" s="56">
        <v>0.7</v>
      </c>
      <c r="G39" s="56">
        <f t="shared" si="9"/>
        <v>2.7</v>
      </c>
      <c r="H39" s="56">
        <f t="shared" si="7"/>
        <v>2.8</v>
      </c>
      <c r="I39" s="56">
        <f t="shared" si="8"/>
        <v>0.7</v>
      </c>
    </row>
    <row r="40" spans="1:9" x14ac:dyDescent="0.3">
      <c r="A40" s="55" t="s">
        <v>86</v>
      </c>
      <c r="B40" s="55">
        <v>49</v>
      </c>
      <c r="C40" s="55">
        <v>46</v>
      </c>
      <c r="D40" s="56">
        <v>2</v>
      </c>
      <c r="E40" s="56">
        <f>3.48+2.66</f>
        <v>6.1400000000000006</v>
      </c>
      <c r="F40" s="56">
        <v>0.7</v>
      </c>
      <c r="G40" s="56">
        <f t="shared" si="9"/>
        <v>2.7</v>
      </c>
      <c r="H40" s="56">
        <f t="shared" ref="H40:H43" si="10">E40</f>
        <v>6.1400000000000006</v>
      </c>
      <c r="I40" s="56">
        <f t="shared" ref="I40:I43" si="11">F40</f>
        <v>0.7</v>
      </c>
    </row>
    <row r="41" spans="1:9" x14ac:dyDescent="0.3">
      <c r="A41" s="55"/>
      <c r="B41" s="55">
        <v>50</v>
      </c>
      <c r="C41" s="55">
        <v>47</v>
      </c>
      <c r="D41" s="56"/>
      <c r="E41" s="56"/>
      <c r="F41" s="56"/>
      <c r="G41" s="56"/>
      <c r="H41" s="56"/>
      <c r="I41" s="56"/>
    </row>
    <row r="42" spans="1:9" x14ac:dyDescent="0.3">
      <c r="A42" s="55">
        <v>86</v>
      </c>
      <c r="B42" s="55">
        <v>51</v>
      </c>
      <c r="C42" s="55">
        <v>48</v>
      </c>
      <c r="D42" s="56">
        <v>2</v>
      </c>
      <c r="E42" s="56">
        <v>1.54</v>
      </c>
      <c r="F42" s="56">
        <v>0.7</v>
      </c>
      <c r="G42" s="56">
        <f t="shared" si="9"/>
        <v>2.7</v>
      </c>
      <c r="H42" s="56">
        <f t="shared" si="10"/>
        <v>1.54</v>
      </c>
      <c r="I42" s="56">
        <f t="shared" si="11"/>
        <v>0.7</v>
      </c>
    </row>
    <row r="43" spans="1:9" x14ac:dyDescent="0.3">
      <c r="A43" s="55">
        <v>87</v>
      </c>
      <c r="B43" s="55">
        <v>77</v>
      </c>
      <c r="C43" s="55">
        <v>74</v>
      </c>
      <c r="D43" s="56">
        <v>2</v>
      </c>
      <c r="E43" s="56">
        <v>2.7</v>
      </c>
      <c r="F43" s="56">
        <v>0.7</v>
      </c>
      <c r="G43" s="56">
        <f t="shared" si="9"/>
        <v>2.7</v>
      </c>
      <c r="H43" s="56">
        <f t="shared" si="10"/>
        <v>2.7</v>
      </c>
      <c r="I43" s="56">
        <f t="shared" si="11"/>
        <v>0.7</v>
      </c>
    </row>
    <row r="44" spans="1:9" x14ac:dyDescent="0.3">
      <c r="A44" s="10"/>
      <c r="B44" s="10"/>
      <c r="C44" s="10"/>
      <c r="D44" s="1"/>
      <c r="E44" s="1"/>
      <c r="F44" s="1"/>
      <c r="G44" s="1"/>
      <c r="H44" s="1"/>
      <c r="I44" s="1"/>
    </row>
    <row r="45" spans="1:9" x14ac:dyDescent="0.3">
      <c r="A45" s="48" t="s">
        <v>43</v>
      </c>
      <c r="B45" s="10"/>
      <c r="C45" s="10"/>
      <c r="D45" s="1"/>
      <c r="E45" s="1"/>
      <c r="F45" s="1"/>
      <c r="G45" s="1"/>
      <c r="H45" s="1"/>
      <c r="I45" s="1"/>
    </row>
    <row r="46" spans="1:9" x14ac:dyDescent="0.3">
      <c r="A46" s="55">
        <v>113</v>
      </c>
      <c r="B46" s="55">
        <v>101</v>
      </c>
      <c r="C46" s="55">
        <v>100</v>
      </c>
      <c r="D46" s="56">
        <v>2</v>
      </c>
      <c r="E46" s="56">
        <v>0.7</v>
      </c>
      <c r="F46" s="56">
        <v>0.4</v>
      </c>
      <c r="G46" s="56">
        <v>3.4</v>
      </c>
      <c r="H46" s="56">
        <f t="shared" ref="H46:I49" si="12">E46</f>
        <v>0.7</v>
      </c>
      <c r="I46" s="56">
        <f t="shared" si="12"/>
        <v>0.4</v>
      </c>
    </row>
    <row r="47" spans="1:9" x14ac:dyDescent="0.3">
      <c r="A47" s="55">
        <v>114</v>
      </c>
      <c r="B47" s="55">
        <v>73</v>
      </c>
      <c r="C47" s="55">
        <v>70</v>
      </c>
      <c r="D47" s="56">
        <v>2</v>
      </c>
      <c r="E47" s="56">
        <v>3.48</v>
      </c>
      <c r="F47" s="56">
        <v>0.4</v>
      </c>
      <c r="G47" s="56">
        <v>3.4</v>
      </c>
      <c r="H47" s="56">
        <f t="shared" si="12"/>
        <v>3.48</v>
      </c>
      <c r="I47" s="56">
        <f t="shared" si="12"/>
        <v>0.4</v>
      </c>
    </row>
    <row r="48" spans="1:9" x14ac:dyDescent="0.3">
      <c r="A48" s="55">
        <v>116</v>
      </c>
      <c r="B48" s="55">
        <v>102</v>
      </c>
      <c r="C48" s="55">
        <v>101</v>
      </c>
      <c r="D48" s="56">
        <v>2</v>
      </c>
      <c r="E48" s="56">
        <v>0.7</v>
      </c>
      <c r="F48" s="56">
        <v>0.4</v>
      </c>
      <c r="G48" s="56">
        <v>2.7</v>
      </c>
      <c r="H48" s="56">
        <f t="shared" si="12"/>
        <v>0.7</v>
      </c>
      <c r="I48" s="56">
        <f t="shared" si="12"/>
        <v>0.4</v>
      </c>
    </row>
    <row r="49" spans="1:28" x14ac:dyDescent="0.3">
      <c r="A49" s="55">
        <v>117</v>
      </c>
      <c r="B49" s="55">
        <v>76</v>
      </c>
      <c r="C49" s="55">
        <v>73</v>
      </c>
      <c r="D49" s="56">
        <v>2</v>
      </c>
      <c r="E49" s="56">
        <v>3.48</v>
      </c>
      <c r="F49" s="56">
        <v>0.4</v>
      </c>
      <c r="G49" s="56">
        <v>2.7</v>
      </c>
      <c r="H49" s="56">
        <f t="shared" si="12"/>
        <v>3.48</v>
      </c>
      <c r="I49" s="56">
        <f t="shared" si="12"/>
        <v>0.4</v>
      </c>
    </row>
    <row r="50" spans="1:28" x14ac:dyDescent="0.3">
      <c r="A50" s="10"/>
      <c r="B50" s="10"/>
      <c r="C50" s="10"/>
      <c r="D50" s="2"/>
      <c r="E50" s="2"/>
      <c r="F50" s="2"/>
      <c r="I50" s="2"/>
      <c r="Y50" t="str">
        <f>IF(M50="","","-density")</f>
        <v/>
      </c>
      <c r="Z50" t="str">
        <f>IF(N50="","","$rho")</f>
        <v/>
      </c>
      <c r="AA50" t="str">
        <f>IF(O50="","","-pDelta")</f>
        <v/>
      </c>
      <c r="AB50" t="str">
        <f>IF(P50="","",#REF!)</f>
        <v/>
      </c>
    </row>
    <row r="51" spans="1:28" x14ac:dyDescent="0.3">
      <c r="D51" s="2"/>
      <c r="E51" s="2"/>
      <c r="F51" s="2"/>
    </row>
    <row r="52" spans="1:28" x14ac:dyDescent="0.3">
      <c r="D52" s="2"/>
      <c r="E52" s="2"/>
      <c r="F52" s="2"/>
    </row>
    <row r="53" spans="1:28" x14ac:dyDescent="0.3">
      <c r="D53" s="2"/>
      <c r="E53" s="2"/>
      <c r="F53" s="2"/>
    </row>
    <row r="54" spans="1:28" x14ac:dyDescent="0.3">
      <c r="D54" s="2"/>
      <c r="E54" s="2"/>
      <c r="F54" s="2"/>
    </row>
    <row r="55" spans="1:28" x14ac:dyDescent="0.3">
      <c r="D55" s="2"/>
      <c r="E55" s="2"/>
      <c r="F55" s="2"/>
    </row>
    <row r="56" spans="1:28" x14ac:dyDescent="0.3">
      <c r="D56" s="2"/>
      <c r="E56" s="2"/>
      <c r="F56" s="2"/>
    </row>
    <row r="57" spans="1:28" x14ac:dyDescent="0.3">
      <c r="D57" s="2"/>
      <c r="E57" s="2"/>
      <c r="F57" s="2"/>
    </row>
    <row r="58" spans="1:28" x14ac:dyDescent="0.3">
      <c r="D58" s="2"/>
      <c r="E58" s="2"/>
      <c r="F58" s="2"/>
    </row>
    <row r="59" spans="1:28" x14ac:dyDescent="0.3">
      <c r="D59" s="2"/>
      <c r="E59" s="2"/>
      <c r="F59" s="2"/>
    </row>
    <row r="60" spans="1:28" x14ac:dyDescent="0.3">
      <c r="D60" s="2"/>
      <c r="E60" s="2"/>
      <c r="F60" s="2"/>
    </row>
    <row r="61" spans="1:28" x14ac:dyDescent="0.3">
      <c r="D61" s="2"/>
      <c r="E61" s="2"/>
      <c r="F61" s="2"/>
    </row>
    <row r="62" spans="1:28" x14ac:dyDescent="0.3">
      <c r="D62" s="2"/>
      <c r="E62" s="2"/>
      <c r="F62" s="2"/>
    </row>
    <row r="63" spans="1:28" x14ac:dyDescent="0.3">
      <c r="D63" s="2"/>
      <c r="E63" s="2"/>
      <c r="F63" s="2"/>
    </row>
    <row r="64" spans="1:28" x14ac:dyDescent="0.3">
      <c r="D64" s="2"/>
      <c r="E64" s="2"/>
      <c r="F64" s="2"/>
    </row>
    <row r="65" spans="4:6" x14ac:dyDescent="0.3">
      <c r="D65" s="2"/>
      <c r="E65" s="2"/>
      <c r="F65" s="2"/>
    </row>
    <row r="66" spans="4:6" x14ac:dyDescent="0.3">
      <c r="D66" s="2"/>
      <c r="E66" s="2"/>
      <c r="F66" s="2"/>
    </row>
    <row r="67" spans="4:6" x14ac:dyDescent="0.3">
      <c r="D67" s="2"/>
      <c r="E67" s="2"/>
      <c r="F67" s="2"/>
    </row>
  </sheetData>
  <pageMargins left="0.7" right="0.7" top="0.78740157499999996" bottom="0.78740157499999996" header="0.3" footer="0.3"/>
  <pageSetup paperSize="9" scale="95" orientation="portrait" r:id="rId1"/>
  <headerFooter>
    <oddHeader xml:space="preserve">&amp;LMaster Thesis 2023/2024&amp;CSt. Lawrence Parish House,
Petrinja, Croatia&amp;R&amp;G
</oddHeader>
    <oddFooter>&amp;L&amp;A&amp;CModel: Initial and Retrofitted State&amp;R&amp;P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76F06-0DA9-4F48-9E16-BD4D13180B34}">
  <sheetPr codeName="Tabelle3">
    <tabColor theme="4"/>
  </sheetPr>
  <dimension ref="A1:W65"/>
  <sheetViews>
    <sheetView view="pageLayout" zoomScaleNormal="100" workbookViewId="0">
      <selection activeCell="B3" sqref="B3"/>
    </sheetView>
  </sheetViews>
  <sheetFormatPr baseColWidth="10" defaultColWidth="8.6640625" defaultRowHeight="14" x14ac:dyDescent="0.3"/>
  <cols>
    <col min="1" max="1" width="11.83203125" style="9" bestFit="1" customWidth="1"/>
    <col min="2" max="2" width="10.33203125" style="9" bestFit="1" customWidth="1"/>
    <col min="3" max="3" width="9.5" style="9" bestFit="1" customWidth="1"/>
    <col min="4" max="9" width="8.08203125" customWidth="1"/>
    <col min="10" max="10" width="5.5" bestFit="1" customWidth="1"/>
    <col min="11" max="11" width="4.75" bestFit="1" customWidth="1"/>
    <col min="12" max="12" width="9.25" bestFit="1" customWidth="1"/>
    <col min="13" max="13" width="6" bestFit="1" customWidth="1"/>
    <col min="14" max="14" width="8" bestFit="1" customWidth="1"/>
    <col min="15" max="15" width="7.08203125" bestFit="1" customWidth="1"/>
    <col min="16" max="16" width="7.5" bestFit="1" customWidth="1"/>
    <col min="17" max="23" width="14.33203125" customWidth="1"/>
    <col min="24" max="24" width="11.75" customWidth="1"/>
  </cols>
  <sheetData>
    <row r="1" spans="1:23" ht="18" x14ac:dyDescent="0.4">
      <c r="A1" s="23" t="s">
        <v>126</v>
      </c>
      <c r="B1" s="19"/>
      <c r="C1" s="19"/>
      <c r="D1" s="19"/>
      <c r="E1" s="19"/>
      <c r="F1" s="19"/>
      <c r="G1" s="19"/>
      <c r="H1" s="19"/>
      <c r="I1" s="19"/>
      <c r="N1" s="3"/>
      <c r="P1" s="3"/>
      <c r="Q1" s="3"/>
      <c r="R1" s="3"/>
      <c r="S1" s="3"/>
      <c r="T1" s="3"/>
      <c r="U1" s="3"/>
      <c r="V1" s="3"/>
      <c r="W1" s="3"/>
    </row>
    <row r="2" spans="1:23" s="4" customFormat="1" x14ac:dyDescent="0.3"/>
    <row r="3" spans="1:23" s="4" customFormat="1" x14ac:dyDescent="0.3">
      <c r="A3" s="91" t="s">
        <v>166</v>
      </c>
      <c r="B3" s="4" t="s">
        <v>167</v>
      </c>
    </row>
    <row r="4" spans="1:23" s="4" customFormat="1" x14ac:dyDescent="0.3">
      <c r="A4" s="91" t="s">
        <v>2</v>
      </c>
      <c r="B4" s="49">
        <f ca="1">TODAY()</f>
        <v>45308</v>
      </c>
      <c r="C4" s="5"/>
      <c r="D4" s="5"/>
      <c r="E4" s="5"/>
    </row>
    <row r="5" spans="1:23" s="4" customFormat="1" x14ac:dyDescent="0.3">
      <c r="A5" s="91" t="s">
        <v>3</v>
      </c>
      <c r="B5" s="4" t="s">
        <v>129</v>
      </c>
    </row>
    <row r="6" spans="1:23" s="4" customFormat="1" x14ac:dyDescent="0.3"/>
    <row r="7" spans="1:23" ht="14.5" thickBot="1" x14ac:dyDescent="0.35">
      <c r="A7" s="17" t="s">
        <v>79</v>
      </c>
      <c r="B7" s="14" t="s">
        <v>80</v>
      </c>
      <c r="C7" s="14" t="s">
        <v>81</v>
      </c>
      <c r="D7" s="6" t="s">
        <v>82</v>
      </c>
      <c r="E7" s="6"/>
      <c r="F7" s="6"/>
      <c r="G7" s="6" t="s">
        <v>83</v>
      </c>
      <c r="H7" s="6"/>
      <c r="I7" s="6"/>
    </row>
    <row r="8" spans="1:23" x14ac:dyDescent="0.3">
      <c r="A8" s="46" t="s">
        <v>37</v>
      </c>
      <c r="B8"/>
      <c r="C8"/>
      <c r="D8" s="45" t="s">
        <v>122</v>
      </c>
      <c r="E8" s="45" t="s">
        <v>123</v>
      </c>
      <c r="F8" s="45" t="s">
        <v>124</v>
      </c>
      <c r="G8" s="45" t="s">
        <v>122</v>
      </c>
      <c r="H8" s="45" t="s">
        <v>123</v>
      </c>
      <c r="I8" s="45" t="s">
        <v>124</v>
      </c>
    </row>
    <row r="9" spans="1:23" x14ac:dyDescent="0.3">
      <c r="A9" s="53">
        <v>28</v>
      </c>
      <c r="B9" s="53">
        <v>22</v>
      </c>
      <c r="C9" s="53">
        <v>19</v>
      </c>
      <c r="D9" s="57">
        <v>1.7</v>
      </c>
      <c r="E9" s="57">
        <v>2.2799999999999998</v>
      </c>
      <c r="F9" s="57">
        <v>0.55000000000000004</v>
      </c>
      <c r="G9" s="57">
        <f t="shared" ref="G9:G22" si="0">IF(F9=0.55,3.4,2.7)</f>
        <v>3.4</v>
      </c>
      <c r="H9" s="57">
        <f t="shared" ref="H9:I14" si="1">E9</f>
        <v>2.2799999999999998</v>
      </c>
      <c r="I9" s="57">
        <f t="shared" si="1"/>
        <v>0.55000000000000004</v>
      </c>
    </row>
    <row r="10" spans="1:23" x14ac:dyDescent="0.3">
      <c r="A10" s="53">
        <v>29</v>
      </c>
      <c r="B10" s="53">
        <v>23</v>
      </c>
      <c r="C10" s="53">
        <v>20</v>
      </c>
      <c r="D10" s="57">
        <v>1.7</v>
      </c>
      <c r="E10" s="57">
        <v>4.4000000000000004</v>
      </c>
      <c r="F10" s="57">
        <v>0.55000000000000004</v>
      </c>
      <c r="G10" s="57">
        <f t="shared" si="0"/>
        <v>3.4</v>
      </c>
      <c r="H10" s="57">
        <f t="shared" si="1"/>
        <v>4.4000000000000004</v>
      </c>
      <c r="I10" s="57">
        <f t="shared" si="1"/>
        <v>0.55000000000000004</v>
      </c>
    </row>
    <row r="11" spans="1:23" x14ac:dyDescent="0.3">
      <c r="A11" s="53">
        <v>30</v>
      </c>
      <c r="B11" s="53">
        <v>24</v>
      </c>
      <c r="C11" s="53">
        <v>21</v>
      </c>
      <c r="D11" s="57">
        <v>1.7</v>
      </c>
      <c r="E11" s="57">
        <v>2.2799999999999998</v>
      </c>
      <c r="F11" s="57">
        <v>0.55000000000000004</v>
      </c>
      <c r="G11" s="57">
        <f t="shared" si="0"/>
        <v>3.4</v>
      </c>
      <c r="H11" s="57">
        <f t="shared" si="1"/>
        <v>2.2799999999999998</v>
      </c>
      <c r="I11" s="57">
        <f t="shared" si="1"/>
        <v>0.55000000000000004</v>
      </c>
    </row>
    <row r="12" spans="1:23" x14ac:dyDescent="0.3">
      <c r="A12" s="53">
        <v>34</v>
      </c>
      <c r="B12" s="53">
        <v>25</v>
      </c>
      <c r="C12" s="53">
        <v>22</v>
      </c>
      <c r="D12" s="57">
        <v>2.2000000000000002</v>
      </c>
      <c r="E12" s="57">
        <v>2.2799999999999998</v>
      </c>
      <c r="F12" s="57">
        <v>0.7</v>
      </c>
      <c r="G12" s="57">
        <f t="shared" si="0"/>
        <v>2.7</v>
      </c>
      <c r="H12" s="57">
        <f t="shared" si="1"/>
        <v>2.2799999999999998</v>
      </c>
      <c r="I12" s="57">
        <f t="shared" si="1"/>
        <v>0.7</v>
      </c>
    </row>
    <row r="13" spans="1:23" x14ac:dyDescent="0.3">
      <c r="A13" s="53">
        <v>35</v>
      </c>
      <c r="B13" s="53">
        <v>26</v>
      </c>
      <c r="C13" s="53">
        <v>23</v>
      </c>
      <c r="D13" s="57">
        <v>2.2000000000000002</v>
      </c>
      <c r="E13" s="57">
        <v>4.3</v>
      </c>
      <c r="F13" s="57">
        <v>0.7</v>
      </c>
      <c r="G13" s="57">
        <f t="shared" si="0"/>
        <v>2.7</v>
      </c>
      <c r="H13" s="57">
        <f t="shared" si="1"/>
        <v>4.3</v>
      </c>
      <c r="I13" s="57">
        <f t="shared" si="1"/>
        <v>0.7</v>
      </c>
    </row>
    <row r="14" spans="1:23" x14ac:dyDescent="0.3">
      <c r="A14" s="53">
        <v>36</v>
      </c>
      <c r="B14" s="53">
        <v>27</v>
      </c>
      <c r="C14" s="53">
        <v>24</v>
      </c>
      <c r="D14" s="57">
        <v>1.4</v>
      </c>
      <c r="E14" s="57">
        <v>2.2799999999999998</v>
      </c>
      <c r="F14" s="57">
        <v>0.7</v>
      </c>
      <c r="G14" s="57">
        <f t="shared" si="0"/>
        <v>2.7</v>
      </c>
      <c r="H14" s="57">
        <f t="shared" si="1"/>
        <v>2.2799999999999998</v>
      </c>
      <c r="I14" s="57">
        <f t="shared" si="1"/>
        <v>0.7</v>
      </c>
    </row>
    <row r="15" spans="1:23" x14ac:dyDescent="0.3">
      <c r="A15" s="10"/>
      <c r="B15" s="10"/>
      <c r="C15" s="10"/>
      <c r="D15" s="2"/>
      <c r="E15" s="2"/>
      <c r="F15" s="2"/>
      <c r="G15" s="2"/>
    </row>
    <row r="16" spans="1:23" x14ac:dyDescent="0.3">
      <c r="A16" s="48" t="s">
        <v>39</v>
      </c>
      <c r="B16" s="10"/>
      <c r="C16" s="10"/>
      <c r="D16" s="2"/>
      <c r="E16" s="2"/>
      <c r="F16" s="2"/>
      <c r="G16" s="2"/>
    </row>
    <row r="17" spans="1:9" x14ac:dyDescent="0.3">
      <c r="A17" s="53">
        <v>62</v>
      </c>
      <c r="B17" s="53">
        <v>84</v>
      </c>
      <c r="C17" s="53">
        <v>81</v>
      </c>
      <c r="D17" s="57">
        <v>1.7</v>
      </c>
      <c r="E17" s="57">
        <v>2.2799999999999998</v>
      </c>
      <c r="F17" s="57">
        <v>0.55000000000000004</v>
      </c>
      <c r="G17" s="57">
        <f t="shared" si="0"/>
        <v>3.4</v>
      </c>
      <c r="H17" s="57">
        <f t="shared" ref="H17:I22" si="2">E17</f>
        <v>2.2799999999999998</v>
      </c>
      <c r="I17" s="57">
        <f t="shared" si="2"/>
        <v>0.55000000000000004</v>
      </c>
    </row>
    <row r="18" spans="1:9" x14ac:dyDescent="0.3">
      <c r="A18" s="53">
        <v>63</v>
      </c>
      <c r="B18" s="53">
        <v>41</v>
      </c>
      <c r="C18" s="53">
        <v>40</v>
      </c>
      <c r="D18" s="57">
        <v>1.7</v>
      </c>
      <c r="E18" s="57">
        <v>4.4000000000000004</v>
      </c>
      <c r="F18" s="57">
        <v>0.55000000000000004</v>
      </c>
      <c r="G18" s="57">
        <f t="shared" si="0"/>
        <v>3.4</v>
      </c>
      <c r="H18" s="57">
        <f t="shared" si="2"/>
        <v>4.4000000000000004</v>
      </c>
      <c r="I18" s="57">
        <f t="shared" si="2"/>
        <v>0.55000000000000004</v>
      </c>
    </row>
    <row r="19" spans="1:9" x14ac:dyDescent="0.3">
      <c r="A19" s="53">
        <v>64</v>
      </c>
      <c r="B19" s="53">
        <v>62</v>
      </c>
      <c r="C19" s="53">
        <v>58</v>
      </c>
      <c r="D19" s="57">
        <v>1.7</v>
      </c>
      <c r="E19" s="57">
        <v>2.2799999999999998</v>
      </c>
      <c r="F19" s="57">
        <v>0.55000000000000004</v>
      </c>
      <c r="G19" s="57">
        <f t="shared" si="0"/>
        <v>3.4</v>
      </c>
      <c r="H19" s="57">
        <f t="shared" si="2"/>
        <v>2.2799999999999998</v>
      </c>
      <c r="I19" s="57">
        <f t="shared" si="2"/>
        <v>0.55000000000000004</v>
      </c>
    </row>
    <row r="20" spans="1:9" x14ac:dyDescent="0.3">
      <c r="A20" s="53">
        <v>67</v>
      </c>
      <c r="B20" s="53">
        <v>87</v>
      </c>
      <c r="C20" s="53">
        <v>84</v>
      </c>
      <c r="D20" s="57">
        <v>1.7</v>
      </c>
      <c r="E20" s="57">
        <v>2.2799999999999998</v>
      </c>
      <c r="F20" s="57">
        <v>0.7</v>
      </c>
      <c r="G20" s="57">
        <f t="shared" si="0"/>
        <v>2.7</v>
      </c>
      <c r="H20" s="57">
        <f t="shared" si="2"/>
        <v>2.2799999999999998</v>
      </c>
      <c r="I20" s="57">
        <f t="shared" si="2"/>
        <v>0.7</v>
      </c>
    </row>
    <row r="21" spans="1:9" x14ac:dyDescent="0.3">
      <c r="A21" s="53">
        <v>68</v>
      </c>
      <c r="B21" s="53">
        <v>42</v>
      </c>
      <c r="C21" s="53">
        <v>41</v>
      </c>
      <c r="D21" s="57">
        <v>1.7</v>
      </c>
      <c r="E21" s="57">
        <v>4.4000000000000004</v>
      </c>
      <c r="F21" s="57">
        <v>0.7</v>
      </c>
      <c r="G21" s="57">
        <f t="shared" si="0"/>
        <v>2.7</v>
      </c>
      <c r="H21" s="57">
        <f t="shared" si="2"/>
        <v>4.4000000000000004</v>
      </c>
      <c r="I21" s="57">
        <f t="shared" si="2"/>
        <v>0.7</v>
      </c>
    </row>
    <row r="22" spans="1:9" x14ac:dyDescent="0.3">
      <c r="A22" s="53">
        <v>69</v>
      </c>
      <c r="B22" s="53">
        <v>66</v>
      </c>
      <c r="C22" s="53">
        <v>62</v>
      </c>
      <c r="D22" s="57">
        <v>1.7</v>
      </c>
      <c r="E22" s="57">
        <v>2.2799999999999998</v>
      </c>
      <c r="F22" s="57">
        <v>0.7</v>
      </c>
      <c r="G22" s="57">
        <f t="shared" si="0"/>
        <v>2.7</v>
      </c>
      <c r="H22" s="57">
        <f t="shared" si="2"/>
        <v>2.2799999999999998</v>
      </c>
      <c r="I22" s="57">
        <f t="shared" si="2"/>
        <v>0.7</v>
      </c>
    </row>
    <row r="23" spans="1:9" x14ac:dyDescent="0.3">
      <c r="A23" s="10"/>
      <c r="B23" s="10"/>
      <c r="C23" s="10"/>
      <c r="D23" s="2"/>
      <c r="E23" s="2"/>
      <c r="F23" s="2"/>
      <c r="H23" s="2"/>
      <c r="I23" s="2"/>
    </row>
    <row r="24" spans="1:9" x14ac:dyDescent="0.3">
      <c r="A24" s="48" t="s">
        <v>41</v>
      </c>
      <c r="B24" s="10"/>
      <c r="C24" s="10"/>
      <c r="D24" s="2"/>
      <c r="E24" s="2"/>
      <c r="F24" s="2"/>
    </row>
    <row r="25" spans="1:9" x14ac:dyDescent="0.3">
      <c r="A25" s="53">
        <v>90</v>
      </c>
      <c r="B25" s="53">
        <v>63</v>
      </c>
      <c r="C25" s="53">
        <v>59</v>
      </c>
      <c r="D25" s="57">
        <v>2</v>
      </c>
      <c r="E25" s="57">
        <v>0.6</v>
      </c>
      <c r="F25" s="57">
        <v>0.4</v>
      </c>
      <c r="G25" s="57">
        <f t="shared" ref="G25:G30" si="3">IF(F25=0.4,3.4,2.7)</f>
        <v>3.4</v>
      </c>
      <c r="H25" s="57">
        <f t="shared" ref="H25:I30" si="4">E25</f>
        <v>0.6</v>
      </c>
      <c r="I25" s="57">
        <f t="shared" si="4"/>
        <v>0.4</v>
      </c>
    </row>
    <row r="26" spans="1:9" x14ac:dyDescent="0.3">
      <c r="A26" s="53">
        <v>91</v>
      </c>
      <c r="B26" s="53">
        <v>94</v>
      </c>
      <c r="C26" s="53">
        <v>91</v>
      </c>
      <c r="D26" s="57">
        <v>2</v>
      </c>
      <c r="E26" s="57">
        <v>5.86</v>
      </c>
      <c r="F26" s="57">
        <v>0.4</v>
      </c>
      <c r="G26" s="57">
        <f t="shared" si="3"/>
        <v>3.4</v>
      </c>
      <c r="H26" s="57">
        <f t="shared" si="4"/>
        <v>5.86</v>
      </c>
      <c r="I26" s="57">
        <f t="shared" si="4"/>
        <v>0.4</v>
      </c>
    </row>
    <row r="27" spans="1:9" x14ac:dyDescent="0.3">
      <c r="A27" s="53">
        <v>92</v>
      </c>
      <c r="B27" s="53">
        <v>83</v>
      </c>
      <c r="C27" s="53">
        <v>80</v>
      </c>
      <c r="D27" s="57">
        <v>2</v>
      </c>
      <c r="E27" s="57">
        <v>2.23</v>
      </c>
      <c r="F27" s="57">
        <v>0.4</v>
      </c>
      <c r="G27" s="57">
        <f t="shared" si="3"/>
        <v>3.4</v>
      </c>
      <c r="H27" s="57">
        <f t="shared" si="4"/>
        <v>2.23</v>
      </c>
      <c r="I27" s="57">
        <f t="shared" si="4"/>
        <v>0.4</v>
      </c>
    </row>
    <row r="28" spans="1:9" x14ac:dyDescent="0.3">
      <c r="A28" s="53">
        <v>95</v>
      </c>
      <c r="B28" s="53">
        <v>67</v>
      </c>
      <c r="C28" s="53">
        <v>63</v>
      </c>
      <c r="D28" s="57">
        <v>2</v>
      </c>
      <c r="E28" s="57">
        <v>0.6</v>
      </c>
      <c r="F28" s="57">
        <v>0.5</v>
      </c>
      <c r="G28" s="57">
        <f t="shared" si="3"/>
        <v>2.7</v>
      </c>
      <c r="H28" s="57">
        <f t="shared" si="4"/>
        <v>0.6</v>
      </c>
      <c r="I28" s="57">
        <f t="shared" si="4"/>
        <v>0.5</v>
      </c>
    </row>
    <row r="29" spans="1:9" x14ac:dyDescent="0.3">
      <c r="A29" s="53">
        <v>96</v>
      </c>
      <c r="B29" s="53">
        <v>97</v>
      </c>
      <c r="C29" s="53">
        <v>94</v>
      </c>
      <c r="D29" s="57">
        <v>2</v>
      </c>
      <c r="E29" s="57">
        <v>5.86</v>
      </c>
      <c r="F29" s="57">
        <v>0.5</v>
      </c>
      <c r="G29" s="57">
        <f t="shared" si="3"/>
        <v>2.7</v>
      </c>
      <c r="H29" s="57">
        <f t="shared" si="4"/>
        <v>5.86</v>
      </c>
      <c r="I29" s="57">
        <f t="shared" si="4"/>
        <v>0.5</v>
      </c>
    </row>
    <row r="30" spans="1:9" x14ac:dyDescent="0.3">
      <c r="A30" s="53">
        <v>97</v>
      </c>
      <c r="B30" s="53">
        <v>86</v>
      </c>
      <c r="C30" s="53">
        <v>83</v>
      </c>
      <c r="D30" s="57">
        <v>2</v>
      </c>
      <c r="E30" s="57">
        <v>2.23</v>
      </c>
      <c r="F30" s="57">
        <v>0.5</v>
      </c>
      <c r="G30" s="57">
        <f t="shared" si="3"/>
        <v>2.7</v>
      </c>
      <c r="H30" s="57">
        <f t="shared" si="4"/>
        <v>2.23</v>
      </c>
      <c r="I30" s="57">
        <f t="shared" si="4"/>
        <v>0.5</v>
      </c>
    </row>
    <row r="31" spans="1:9" x14ac:dyDescent="0.3">
      <c r="A31" s="10"/>
      <c r="B31" s="10"/>
      <c r="C31" s="10"/>
      <c r="D31" s="2"/>
      <c r="E31" s="2"/>
      <c r="F31" s="2"/>
      <c r="H31" s="2"/>
      <c r="I31" s="2"/>
    </row>
    <row r="32" spans="1:9" x14ac:dyDescent="0.3">
      <c r="A32" s="48" t="s">
        <v>42</v>
      </c>
      <c r="B32" s="10"/>
      <c r="C32" s="10"/>
      <c r="D32" s="2"/>
      <c r="E32" s="2"/>
      <c r="F32" s="2"/>
      <c r="H32" s="2"/>
      <c r="I32" s="2"/>
    </row>
    <row r="33" spans="1:9" x14ac:dyDescent="0.3">
      <c r="A33" s="53">
        <v>101</v>
      </c>
      <c r="B33" s="53">
        <v>64</v>
      </c>
      <c r="C33" s="53">
        <v>60</v>
      </c>
      <c r="D33" s="57">
        <v>2</v>
      </c>
      <c r="E33" s="57">
        <v>0.43</v>
      </c>
      <c r="F33" s="57">
        <v>0.4</v>
      </c>
      <c r="G33" s="57">
        <f t="shared" ref="G33:G40" si="5">IF(F33=0.4,3.4,2.7)</f>
        <v>3.4</v>
      </c>
      <c r="H33" s="57">
        <f t="shared" ref="H33:I40" si="6">E33</f>
        <v>0.43</v>
      </c>
      <c r="I33" s="57">
        <f t="shared" si="6"/>
        <v>0.4</v>
      </c>
    </row>
    <row r="34" spans="1:9" x14ac:dyDescent="0.3">
      <c r="A34" s="53">
        <v>102</v>
      </c>
      <c r="B34" s="53">
        <v>53</v>
      </c>
      <c r="C34" s="53">
        <v>52</v>
      </c>
      <c r="D34" s="57">
        <v>2</v>
      </c>
      <c r="E34" s="57">
        <v>1.1499999999999999</v>
      </c>
      <c r="F34" s="57">
        <v>0.4</v>
      </c>
      <c r="G34" s="57">
        <f t="shared" si="5"/>
        <v>3.4</v>
      </c>
      <c r="H34" s="57">
        <f t="shared" si="6"/>
        <v>1.1499999999999999</v>
      </c>
      <c r="I34" s="57">
        <f t="shared" si="6"/>
        <v>0.4</v>
      </c>
    </row>
    <row r="35" spans="1:9" x14ac:dyDescent="0.3">
      <c r="A35" s="53">
        <v>103</v>
      </c>
      <c r="B35" s="53">
        <v>96</v>
      </c>
      <c r="C35" s="53">
        <v>93</v>
      </c>
      <c r="D35" s="57">
        <v>2</v>
      </c>
      <c r="E35" s="57">
        <v>3.9</v>
      </c>
      <c r="F35" s="57">
        <v>0.4</v>
      </c>
      <c r="G35" s="57">
        <f t="shared" si="5"/>
        <v>3.4</v>
      </c>
      <c r="H35" s="57">
        <f t="shared" si="6"/>
        <v>3.9</v>
      </c>
      <c r="I35" s="57">
        <f t="shared" si="6"/>
        <v>0.4</v>
      </c>
    </row>
    <row r="36" spans="1:9" x14ac:dyDescent="0.3">
      <c r="A36" s="53">
        <v>104</v>
      </c>
      <c r="B36" s="53">
        <v>82</v>
      </c>
      <c r="C36" s="53">
        <v>79</v>
      </c>
      <c r="D36" s="57">
        <v>2</v>
      </c>
      <c r="E36" s="57">
        <v>2.23</v>
      </c>
      <c r="F36" s="57">
        <v>0.4</v>
      </c>
      <c r="G36" s="57">
        <f t="shared" si="5"/>
        <v>3.4</v>
      </c>
      <c r="H36" s="57">
        <f t="shared" si="6"/>
        <v>2.23</v>
      </c>
      <c r="I36" s="57">
        <f t="shared" si="6"/>
        <v>0.4</v>
      </c>
    </row>
    <row r="37" spans="1:9" x14ac:dyDescent="0.3">
      <c r="A37" s="53">
        <v>108</v>
      </c>
      <c r="B37" s="53">
        <v>68</v>
      </c>
      <c r="C37" s="53">
        <v>64</v>
      </c>
      <c r="D37" s="57">
        <v>2</v>
      </c>
      <c r="E37" s="57">
        <v>0.43</v>
      </c>
      <c r="F37" s="57">
        <v>0.5</v>
      </c>
      <c r="G37" s="57">
        <f t="shared" si="5"/>
        <v>2.7</v>
      </c>
      <c r="H37" s="57">
        <f t="shared" si="6"/>
        <v>0.43</v>
      </c>
      <c r="I37" s="57">
        <f t="shared" si="6"/>
        <v>0.5</v>
      </c>
    </row>
    <row r="38" spans="1:9" x14ac:dyDescent="0.3">
      <c r="A38" s="53">
        <v>109</v>
      </c>
      <c r="B38" s="53">
        <v>54</v>
      </c>
      <c r="C38" s="53">
        <v>53</v>
      </c>
      <c r="D38" s="57">
        <v>2</v>
      </c>
      <c r="E38" s="57">
        <v>1.1499999999999999</v>
      </c>
      <c r="F38" s="57">
        <v>0.5</v>
      </c>
      <c r="G38" s="57">
        <f t="shared" si="5"/>
        <v>2.7</v>
      </c>
      <c r="H38" s="57">
        <f t="shared" si="6"/>
        <v>1.1499999999999999</v>
      </c>
      <c r="I38" s="57">
        <f t="shared" si="6"/>
        <v>0.5</v>
      </c>
    </row>
    <row r="39" spans="1:9" x14ac:dyDescent="0.3">
      <c r="A39" s="53">
        <v>110</v>
      </c>
      <c r="B39" s="53">
        <v>99</v>
      </c>
      <c r="C39" s="53">
        <v>96</v>
      </c>
      <c r="D39" s="57">
        <v>2</v>
      </c>
      <c r="E39" s="57">
        <v>3.9</v>
      </c>
      <c r="F39" s="57">
        <v>0.5</v>
      </c>
      <c r="G39" s="57">
        <f t="shared" si="5"/>
        <v>2.7</v>
      </c>
      <c r="H39" s="57">
        <f t="shared" si="6"/>
        <v>3.9</v>
      </c>
      <c r="I39" s="57">
        <f t="shared" si="6"/>
        <v>0.5</v>
      </c>
    </row>
    <row r="40" spans="1:9" x14ac:dyDescent="0.3">
      <c r="A40" s="53">
        <v>111</v>
      </c>
      <c r="B40" s="53">
        <v>85</v>
      </c>
      <c r="C40" s="53">
        <v>82</v>
      </c>
      <c r="D40" s="57">
        <v>2</v>
      </c>
      <c r="E40" s="57">
        <v>2.23</v>
      </c>
      <c r="F40" s="57">
        <v>0.5</v>
      </c>
      <c r="G40" s="57">
        <f t="shared" si="5"/>
        <v>2.7</v>
      </c>
      <c r="H40" s="57">
        <f t="shared" si="6"/>
        <v>2.23</v>
      </c>
      <c r="I40" s="57">
        <f t="shared" si="6"/>
        <v>0.5</v>
      </c>
    </row>
    <row r="41" spans="1:9" x14ac:dyDescent="0.3">
      <c r="A41" s="10"/>
      <c r="B41" s="10"/>
      <c r="C41" s="10"/>
      <c r="D41" s="2"/>
      <c r="E41" s="2"/>
      <c r="F41" s="2"/>
    </row>
    <row r="42" spans="1:9" x14ac:dyDescent="0.3">
      <c r="A42" s="48" t="s">
        <v>44</v>
      </c>
      <c r="B42" s="10"/>
      <c r="C42" s="10"/>
      <c r="D42" s="2"/>
      <c r="E42" s="2"/>
      <c r="F42" s="2"/>
      <c r="H42" s="2"/>
      <c r="I42" s="2"/>
    </row>
    <row r="43" spans="1:9" x14ac:dyDescent="0.3">
      <c r="A43" s="53">
        <v>118</v>
      </c>
      <c r="B43" s="53">
        <v>56</v>
      </c>
      <c r="C43" s="53">
        <v>55</v>
      </c>
      <c r="D43" s="57">
        <v>3.4</v>
      </c>
      <c r="E43" s="57">
        <v>2.1</v>
      </c>
      <c r="F43" s="57">
        <v>0.6</v>
      </c>
      <c r="G43" s="57">
        <v>3.4</v>
      </c>
      <c r="H43" s="57">
        <f>E43</f>
        <v>2.1</v>
      </c>
      <c r="I43" s="57">
        <f>F43</f>
        <v>0.6</v>
      </c>
    </row>
    <row r="44" spans="1:9" x14ac:dyDescent="0.3">
      <c r="A44" s="53">
        <v>119</v>
      </c>
      <c r="B44" s="53">
        <v>57</v>
      </c>
      <c r="C44" s="53">
        <v>56</v>
      </c>
      <c r="D44" s="57">
        <v>2.7</v>
      </c>
      <c r="E44" s="57">
        <v>2.1</v>
      </c>
      <c r="F44" s="57">
        <v>0.6</v>
      </c>
      <c r="G44" s="57">
        <v>2.7</v>
      </c>
      <c r="H44" s="57">
        <f>E44</f>
        <v>2.1</v>
      </c>
      <c r="I44" s="57">
        <f>F44</f>
        <v>0.6</v>
      </c>
    </row>
    <row r="45" spans="1:9" x14ac:dyDescent="0.3">
      <c r="A45" s="10"/>
      <c r="B45" s="10"/>
      <c r="C45" s="10"/>
      <c r="D45" s="2"/>
      <c r="E45" s="2"/>
      <c r="F45" s="2"/>
    </row>
    <row r="46" spans="1:9" x14ac:dyDescent="0.3">
      <c r="A46" s="48" t="s">
        <v>45</v>
      </c>
      <c r="B46" s="10"/>
      <c r="C46" s="10"/>
      <c r="D46" s="2"/>
      <c r="E46" s="2"/>
      <c r="F46" s="2"/>
    </row>
    <row r="47" spans="1:9" x14ac:dyDescent="0.3">
      <c r="A47" s="53">
        <v>120</v>
      </c>
      <c r="B47" s="53">
        <v>95</v>
      </c>
      <c r="C47" s="53">
        <v>92</v>
      </c>
      <c r="D47" s="57">
        <v>3.4</v>
      </c>
      <c r="E47" s="57">
        <v>3.85</v>
      </c>
      <c r="F47" s="57">
        <v>0.4</v>
      </c>
      <c r="G47" s="57">
        <v>3.4</v>
      </c>
      <c r="H47" s="57">
        <f t="shared" ref="H47:I48" si="7">E47</f>
        <v>3.85</v>
      </c>
      <c r="I47" s="57">
        <f t="shared" si="7"/>
        <v>0.4</v>
      </c>
    </row>
    <row r="48" spans="1:9" x14ac:dyDescent="0.3">
      <c r="A48" s="53">
        <v>121</v>
      </c>
      <c r="B48" s="53">
        <v>98</v>
      </c>
      <c r="C48" s="53">
        <v>95</v>
      </c>
      <c r="D48" s="57">
        <v>2.7</v>
      </c>
      <c r="E48" s="57">
        <v>3.85</v>
      </c>
      <c r="F48" s="57">
        <v>0.6</v>
      </c>
      <c r="G48" s="57">
        <v>2.7</v>
      </c>
      <c r="H48" s="57">
        <f t="shared" si="7"/>
        <v>3.85</v>
      </c>
      <c r="I48" s="57">
        <f t="shared" si="7"/>
        <v>0.6</v>
      </c>
    </row>
    <row r="49" spans="4:6" x14ac:dyDescent="0.3">
      <c r="D49" s="2"/>
      <c r="E49" s="2"/>
      <c r="F49" s="2"/>
    </row>
    <row r="50" spans="4:6" x14ac:dyDescent="0.3">
      <c r="D50" s="2"/>
      <c r="E50" s="2"/>
      <c r="F50" s="2"/>
    </row>
    <row r="51" spans="4:6" x14ac:dyDescent="0.3">
      <c r="D51" s="2"/>
      <c r="E51" s="2"/>
      <c r="F51" s="2"/>
    </row>
    <row r="52" spans="4:6" x14ac:dyDescent="0.3">
      <c r="D52" s="2"/>
      <c r="E52" s="2"/>
      <c r="F52" s="2"/>
    </row>
    <row r="53" spans="4:6" x14ac:dyDescent="0.3">
      <c r="D53" s="2"/>
      <c r="E53" s="2"/>
      <c r="F53" s="2"/>
    </row>
    <row r="54" spans="4:6" x14ac:dyDescent="0.3">
      <c r="D54" s="2"/>
      <c r="E54" s="2"/>
      <c r="F54" s="2"/>
    </row>
    <row r="55" spans="4:6" x14ac:dyDescent="0.3">
      <c r="D55" s="2"/>
      <c r="E55" s="2"/>
      <c r="F55" s="2"/>
    </row>
    <row r="56" spans="4:6" x14ac:dyDescent="0.3">
      <c r="D56" s="2"/>
      <c r="E56" s="2"/>
      <c r="F56" s="2"/>
    </row>
    <row r="57" spans="4:6" x14ac:dyDescent="0.3">
      <c r="D57" s="2"/>
      <c r="E57" s="2"/>
      <c r="F57" s="2"/>
    </row>
    <row r="58" spans="4:6" x14ac:dyDescent="0.3">
      <c r="D58" s="2"/>
      <c r="E58" s="2"/>
      <c r="F58" s="2"/>
    </row>
    <row r="59" spans="4:6" x14ac:dyDescent="0.3">
      <c r="D59" s="2"/>
      <c r="E59" s="2"/>
      <c r="F59" s="2"/>
    </row>
    <row r="60" spans="4:6" x14ac:dyDescent="0.3">
      <c r="D60" s="2"/>
      <c r="E60" s="2"/>
      <c r="F60" s="2"/>
    </row>
    <row r="61" spans="4:6" x14ac:dyDescent="0.3">
      <c r="D61" s="2"/>
      <c r="E61" s="2"/>
      <c r="F61" s="2"/>
    </row>
    <row r="62" spans="4:6" x14ac:dyDescent="0.3">
      <c r="D62" s="2"/>
      <c r="E62" s="2"/>
      <c r="F62" s="2"/>
    </row>
    <row r="63" spans="4:6" x14ac:dyDescent="0.3">
      <c r="D63" s="2"/>
      <c r="E63" s="2"/>
      <c r="F63" s="2"/>
    </row>
    <row r="64" spans="4:6" x14ac:dyDescent="0.3">
      <c r="D64" s="2"/>
      <c r="E64" s="2"/>
      <c r="F64" s="2"/>
    </row>
    <row r="65" spans="4:6" x14ac:dyDescent="0.3">
      <c r="D65" s="2"/>
      <c r="E65" s="2"/>
      <c r="F65" s="2"/>
    </row>
  </sheetData>
  <pageMargins left="0.7" right="0.7" top="0.78740157499999996" bottom="0.78740157499999996" header="0.3" footer="0.3"/>
  <pageSetup paperSize="9" orientation="portrait" r:id="rId1"/>
  <headerFooter>
    <oddHeader>&amp;LMaster Thesis 2023/2024&amp;CSt. Lawrence Parish House,
Petrinja, Croatia&amp;R&amp;G</oddHeader>
    <oddFooter>&amp;L&amp;A&amp;CModel: Initial and Retrofitted State&amp;R&amp;P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3297B-6D7C-48AF-BF56-B487E0D4CD8B}">
  <sheetPr codeName="Tabelle4">
    <tabColor theme="6"/>
  </sheetPr>
  <dimension ref="A1:J50"/>
  <sheetViews>
    <sheetView view="pageLayout" zoomScale="70" zoomScaleNormal="55" zoomScalePageLayoutView="70" workbookViewId="0">
      <selection activeCell="B3" sqref="B3"/>
    </sheetView>
  </sheetViews>
  <sheetFormatPr baseColWidth="10" defaultColWidth="2.25" defaultRowHeight="14.5" x14ac:dyDescent="0.35"/>
  <cols>
    <col min="1" max="1" width="11.08203125" style="9" bestFit="1" customWidth="1"/>
    <col min="2" max="2" width="9.9140625" style="9" bestFit="1" customWidth="1"/>
    <col min="3" max="3" width="8.9140625" style="9" bestFit="1" customWidth="1"/>
    <col min="4" max="4" width="12.25" bestFit="1" customWidth="1"/>
    <col min="5" max="5" width="11.08203125" customWidth="1"/>
    <col min="6" max="6" width="11.08203125" bestFit="1" customWidth="1"/>
    <col min="7" max="7" width="11.08203125" customWidth="1"/>
    <col min="8" max="8" width="12.33203125" style="30" bestFit="1" customWidth="1"/>
    <col min="9" max="9" width="12.83203125" bestFit="1" customWidth="1"/>
    <col min="10" max="10" width="9.25" bestFit="1" customWidth="1"/>
    <col min="11" max="11" width="7.5" bestFit="1" customWidth="1"/>
    <col min="12" max="18" width="14.33203125" customWidth="1"/>
    <col min="19" max="19" width="11.75" customWidth="1"/>
  </cols>
  <sheetData>
    <row r="1" spans="1:10" ht="18" x14ac:dyDescent="0.4">
      <c r="A1" s="22" t="s">
        <v>127</v>
      </c>
      <c r="B1" s="22"/>
      <c r="C1" s="22"/>
      <c r="D1" s="16"/>
      <c r="E1" s="16"/>
      <c r="F1" s="16"/>
      <c r="G1" s="16"/>
      <c r="H1" s="29"/>
      <c r="I1" s="16"/>
      <c r="J1" s="16"/>
    </row>
    <row r="2" spans="1:10" s="4" customFormat="1" ht="14" x14ac:dyDescent="0.3"/>
    <row r="3" spans="1:10" s="4" customFormat="1" ht="14" x14ac:dyDescent="0.3">
      <c r="A3" s="91" t="s">
        <v>166</v>
      </c>
      <c r="B3" s="4" t="s">
        <v>167</v>
      </c>
      <c r="H3" s="74"/>
      <c r="I3" s="75"/>
      <c r="J3" s="76"/>
    </row>
    <row r="4" spans="1:10" s="4" customFormat="1" ht="14" x14ac:dyDescent="0.3">
      <c r="A4" s="91" t="s">
        <v>2</v>
      </c>
      <c r="B4" s="49">
        <f ca="1">TODAY()</f>
        <v>45308</v>
      </c>
      <c r="C4" s="5"/>
      <c r="D4" s="5"/>
      <c r="H4" s="74"/>
      <c r="I4" s="75"/>
      <c r="J4" s="76"/>
    </row>
    <row r="5" spans="1:10" s="4" customFormat="1" ht="14" x14ac:dyDescent="0.3">
      <c r="A5" s="91" t="s">
        <v>3</v>
      </c>
      <c r="B5" s="4" t="s">
        <v>128</v>
      </c>
    </row>
    <row r="6" spans="1:10" s="4" customFormat="1" ht="14" x14ac:dyDescent="0.3"/>
    <row r="7" spans="1:10" s="40" customFormat="1" ht="30" customHeight="1" thickBot="1" x14ac:dyDescent="0.35">
      <c r="A7" s="61" t="s">
        <v>79</v>
      </c>
      <c r="B7" s="61" t="s">
        <v>80</v>
      </c>
      <c r="C7" s="61" t="s">
        <v>81</v>
      </c>
      <c r="D7" s="31" t="s">
        <v>88</v>
      </c>
      <c r="E7" s="31" t="s">
        <v>94</v>
      </c>
      <c r="F7" s="31" t="s">
        <v>95</v>
      </c>
      <c r="G7" s="31" t="s">
        <v>96</v>
      </c>
      <c r="H7" s="62" t="s">
        <v>97</v>
      </c>
      <c r="I7" s="31" t="s">
        <v>130</v>
      </c>
      <c r="J7" s="31" t="s">
        <v>65</v>
      </c>
    </row>
    <row r="8" spans="1:10" s="42" customFormat="1" ht="14" x14ac:dyDescent="0.3">
      <c r="A8" s="46" t="s">
        <v>36</v>
      </c>
      <c r="B8" s="15"/>
      <c r="C8" s="15"/>
      <c r="D8" s="44" t="s">
        <v>89</v>
      </c>
      <c r="E8" s="44" t="s">
        <v>89</v>
      </c>
      <c r="F8" s="46" t="s">
        <v>89</v>
      </c>
      <c r="G8" s="46" t="s">
        <v>89</v>
      </c>
      <c r="H8" s="43" t="s">
        <v>89</v>
      </c>
      <c r="I8" s="46" t="s">
        <v>89</v>
      </c>
      <c r="J8" s="46" t="s">
        <v>89</v>
      </c>
    </row>
    <row r="9" spans="1:10" x14ac:dyDescent="0.35">
      <c r="A9" s="53">
        <v>5</v>
      </c>
      <c r="B9" s="53">
        <f>'Pier geometry_1'!B9</f>
        <v>7</v>
      </c>
      <c r="C9" s="53">
        <f>'Pier geometry_1'!C9</f>
        <v>1</v>
      </c>
      <c r="D9" s="53">
        <f>'Pier geometry_1'!G9*'Pier geometry_1'!H9*'Pier geometry_1'!I9*'Material properties'!$E$19</f>
        <v>70012.800000000003</v>
      </c>
      <c r="E9" s="53">
        <f>-_xlfn.XLOOKUP(C9,L_Floor!A:A,L_Floor!I:I,0)</f>
        <v>23860.2</v>
      </c>
      <c r="F9" s="53">
        <f>-_xlfn.XLOOKUP(C9,L_Roof!A:A,L_Roof!C:C,0)</f>
        <v>6961.92</v>
      </c>
      <c r="G9" s="53">
        <f>-_xlfn.XLOOKUP(C9,'L_Filling material'!A:A,'L_Filling material'!C:C,0)</f>
        <v>0</v>
      </c>
      <c r="H9" s="59">
        <f>SUM(B9:G9)</f>
        <v>100842.92</v>
      </c>
      <c r="I9" s="53">
        <f t="shared" ref="I9:I19" ca="1" si="0">_xlfn.XLOOKUP(C9,B:B,H:H,0)</f>
        <v>0</v>
      </c>
      <c r="J9" s="53">
        <f ca="1">SUM(D9:G9,I9)</f>
        <v>100834.92</v>
      </c>
    </row>
    <row r="10" spans="1:10" x14ac:dyDescent="0.35">
      <c r="A10" s="53">
        <v>6</v>
      </c>
      <c r="B10" s="53">
        <f>'Pier geometry_1'!B10</f>
        <v>8</v>
      </c>
      <c r="C10" s="53">
        <f>'Pier geometry_1'!C10</f>
        <v>2</v>
      </c>
      <c r="D10" s="53">
        <f>'Pier geometry_1'!G10*'Pier geometry_1'!H10*'Pier geometry_1'!I10*'Material properties'!$E$19</f>
        <v>84150.000000000015</v>
      </c>
      <c r="E10" s="53">
        <f>-_xlfn.XLOOKUP(C10,L_Floor!A:A,L_Floor!I:I,0)</f>
        <v>23860.2</v>
      </c>
      <c r="F10" s="53">
        <f>-_xlfn.XLOOKUP(C10,L_Roof!A:A,L_Roof!C:C,0)</f>
        <v>23063.040000000005</v>
      </c>
      <c r="G10" s="53">
        <f>-_xlfn.XLOOKUP(C10,'L_Filling material'!A:A,'L_Filling material'!C:C,0)</f>
        <v>0</v>
      </c>
      <c r="H10" s="59">
        <f t="shared" ref="H10:H31" si="1">SUM(B10:G10)</f>
        <v>131083.24000000002</v>
      </c>
      <c r="I10" s="53">
        <f t="shared" ca="1" si="0"/>
        <v>0</v>
      </c>
      <c r="J10" s="53">
        <f t="shared" ref="J10:J31" ca="1" si="2">SUM(D10:G10,I10)</f>
        <v>131073.24000000002</v>
      </c>
    </row>
    <row r="11" spans="1:10" x14ac:dyDescent="0.35">
      <c r="A11" s="53">
        <v>7</v>
      </c>
      <c r="B11" s="53">
        <f>'Pier geometry_1'!B11</f>
        <v>9</v>
      </c>
      <c r="C11" s="53">
        <f>'Pier geometry_1'!C11</f>
        <v>3</v>
      </c>
      <c r="D11" s="53">
        <f>'Pier geometry_1'!G11*'Pier geometry_1'!H11*'Pier geometry_1'!I11*'Material properties'!$E$19</f>
        <v>107712.00000000001</v>
      </c>
      <c r="E11" s="53">
        <f>-_xlfn.XLOOKUP(C11,L_Floor!A:A,L_Floor!I:I,0)</f>
        <v>19320</v>
      </c>
      <c r="F11" s="53">
        <f>-_xlfn.XLOOKUP(C11,L_Roof!A:A,L_Roof!C:C,0)</f>
        <v>18278.400000000001</v>
      </c>
      <c r="G11" s="53">
        <f>-_xlfn.XLOOKUP(C11,'L_Filling material'!A:A,'L_Filling material'!C:C,0)</f>
        <v>0</v>
      </c>
      <c r="H11" s="59">
        <f t="shared" si="1"/>
        <v>145322.40000000002</v>
      </c>
      <c r="I11" s="53">
        <f t="shared" ca="1" si="0"/>
        <v>0</v>
      </c>
      <c r="J11" s="53">
        <f t="shared" ca="1" si="2"/>
        <v>145310.40000000002</v>
      </c>
    </row>
    <row r="12" spans="1:10" x14ac:dyDescent="0.35">
      <c r="A12" s="53">
        <v>9</v>
      </c>
      <c r="B12" s="53">
        <f>'Pier geometry_1'!B12</f>
        <v>11</v>
      </c>
      <c r="C12" s="53">
        <f>'Pier geometry_1'!C12</f>
        <v>5</v>
      </c>
      <c r="D12" s="53">
        <f>'Pier geometry_1'!G12*'Pier geometry_1'!H12*'Pier geometry_1'!I12*'Material properties'!$E$19</f>
        <v>84150.000000000015</v>
      </c>
      <c r="E12" s="53">
        <f>-_xlfn.XLOOKUP(C12,L_Floor!A:A,L_Floor!I:I,0)</f>
        <v>17750.25</v>
      </c>
      <c r="F12" s="53">
        <f>-_xlfn.XLOOKUP(C12,L_Roof!A:A,L_Roof!C:C,0)</f>
        <v>23036.16</v>
      </c>
      <c r="G12" s="53">
        <f>-_xlfn.XLOOKUP(C12,'L_Filling material'!A:A,'L_Filling material'!C:C,0)</f>
        <v>0</v>
      </c>
      <c r="H12" s="59">
        <f t="shared" si="1"/>
        <v>124952.41000000002</v>
      </c>
      <c r="I12" s="53">
        <f t="shared" ca="1" si="0"/>
        <v>0</v>
      </c>
      <c r="J12" s="53">
        <f t="shared" ca="1" si="2"/>
        <v>124936.41000000002</v>
      </c>
    </row>
    <row r="13" spans="1:10" x14ac:dyDescent="0.35">
      <c r="A13" s="53">
        <v>10</v>
      </c>
      <c r="B13" s="53">
        <f>'Pier geometry_1'!B13</f>
        <v>12</v>
      </c>
      <c r="C13" s="53">
        <f>'Pier geometry_1'!C13</f>
        <v>6</v>
      </c>
      <c r="D13" s="53">
        <f>'Pier geometry_1'!G13*'Pier geometry_1'!H13*'Pier geometry_1'!I13*'Material properties'!$E$19</f>
        <v>70012.800000000003</v>
      </c>
      <c r="E13" s="53">
        <f>-_xlfn.XLOOKUP(C13,L_Floor!A:A,L_Floor!I:I,0)</f>
        <v>6279.0000000000009</v>
      </c>
      <c r="F13" s="53">
        <f>-_xlfn.XLOOKUP(C13,L_Roof!A:A,L_Roof!C:C,0)</f>
        <v>6948.4799999999977</v>
      </c>
      <c r="G13" s="53">
        <f>-_xlfn.XLOOKUP(C13,'L_Filling material'!A:A,'L_Filling material'!C:C,0)</f>
        <v>0</v>
      </c>
      <c r="H13" s="59">
        <f t="shared" si="1"/>
        <v>83258.28</v>
      </c>
      <c r="I13" s="53">
        <f t="shared" ca="1" si="0"/>
        <v>0</v>
      </c>
      <c r="J13" s="53">
        <f t="shared" ca="1" si="2"/>
        <v>83240.28</v>
      </c>
    </row>
    <row r="14" spans="1:10" x14ac:dyDescent="0.35">
      <c r="A14" s="53">
        <v>15</v>
      </c>
      <c r="B14" s="53">
        <f>'Pier geometry_1'!B14</f>
        <v>13</v>
      </c>
      <c r="C14" s="53">
        <f>'Pier geometry_1'!C14</f>
        <v>7</v>
      </c>
      <c r="D14" s="53">
        <f>'Pier geometry_1'!G14*'Pier geometry_1'!H14*'Pier geometry_1'!I14*'Material properties'!$E$19</f>
        <v>70761.600000000006</v>
      </c>
      <c r="E14" s="53">
        <f>-_xlfn.XLOOKUP(C14,L_Floor!A:A,L_Floor!I:I,0)</f>
        <v>0</v>
      </c>
      <c r="F14" s="53">
        <f>-_xlfn.XLOOKUP(C14,L_Roof!A:A,L_Roof!C:C,0)</f>
        <v>0</v>
      </c>
      <c r="G14" s="53">
        <f>-_xlfn.XLOOKUP(C14,'L_Filling material'!A:A,'L_Filling material'!C:C,0)</f>
        <v>0</v>
      </c>
      <c r="H14" s="59">
        <f t="shared" si="1"/>
        <v>70781.600000000006</v>
      </c>
      <c r="I14" s="53">
        <f t="shared" ca="1" si="0"/>
        <v>100842.92</v>
      </c>
      <c r="J14" s="53">
        <f t="shared" ca="1" si="2"/>
        <v>171604.52000000002</v>
      </c>
    </row>
    <row r="15" spans="1:10" x14ac:dyDescent="0.35">
      <c r="A15" s="53">
        <v>16</v>
      </c>
      <c r="B15" s="53">
        <f>'Pier geometry_1'!B15</f>
        <v>14</v>
      </c>
      <c r="C15" s="53">
        <f>'Pier geometry_1'!C15</f>
        <v>8</v>
      </c>
      <c r="D15" s="53">
        <f>'Pier geometry_1'!G15*'Pier geometry_1'!H15*'Pier geometry_1'!I15*'Material properties'!$E$19</f>
        <v>85050</v>
      </c>
      <c r="E15" s="53">
        <f>-_xlfn.XLOOKUP(C15,L_Floor!A:A,L_Floor!I:I,0)</f>
        <v>4013.338209142501</v>
      </c>
      <c r="F15" s="53">
        <f>-_xlfn.XLOOKUP(C15,L_Roof!A:A,L_Roof!C:C,0)</f>
        <v>0</v>
      </c>
      <c r="G15" s="53">
        <f>-_xlfn.XLOOKUP(C15,'L_Filling material'!A:A,'L_Filling material'!C:C,0)</f>
        <v>13711.0687069165</v>
      </c>
      <c r="H15" s="59">
        <f t="shared" si="1"/>
        <v>102796.406916059</v>
      </c>
      <c r="I15" s="53">
        <f t="shared" ca="1" si="0"/>
        <v>131083.24000000002</v>
      </c>
      <c r="J15" s="53">
        <f t="shared" ca="1" si="2"/>
        <v>233857.64691605902</v>
      </c>
    </row>
    <row r="16" spans="1:10" x14ac:dyDescent="0.35">
      <c r="A16" s="53">
        <v>17</v>
      </c>
      <c r="B16" s="53">
        <f>'Pier geometry_1'!B16</f>
        <v>15</v>
      </c>
      <c r="C16" s="53">
        <f>'Pier geometry_1'!C16</f>
        <v>9</v>
      </c>
      <c r="D16" s="53">
        <f>'Pier geometry_1'!G16*'Pier geometry_1'!H16*'Pier geometry_1'!I16*'Material properties'!$E$19</f>
        <v>28916.999999999996</v>
      </c>
      <c r="E16" s="53">
        <f>-_xlfn.XLOOKUP(C16,L_Floor!A:A,L_Floor!I:I,0)</f>
        <v>11830.835925000001</v>
      </c>
      <c r="F16" s="53">
        <f>-_xlfn.XLOOKUP(C16,L_Roof!A:A,L_Roof!C:C,0)</f>
        <v>0</v>
      </c>
      <c r="G16" s="53">
        <f>-_xlfn.XLOOKUP(C16,'L_Filling material'!A:A,'L_Filling material'!C:C,0)</f>
        <v>0</v>
      </c>
      <c r="H16" s="59">
        <f t="shared" si="1"/>
        <v>40771.835924999999</v>
      </c>
      <c r="I16" s="53">
        <f t="shared" ca="1" si="0"/>
        <v>145322.40000000002</v>
      </c>
      <c r="J16" s="53">
        <f t="shared" ca="1" si="2"/>
        <v>186070.23592500002</v>
      </c>
    </row>
    <row r="17" spans="1:10" x14ac:dyDescent="0.35">
      <c r="A17" s="53">
        <v>18</v>
      </c>
      <c r="B17" s="53">
        <f>'Pier geometry_1'!B17</f>
        <v>16</v>
      </c>
      <c r="C17" s="53">
        <f>'Pier geometry_1'!C17</f>
        <v>9</v>
      </c>
      <c r="D17" s="53">
        <f>'Pier geometry_1'!G17*'Pier geometry_1'!H17*'Pier geometry_1'!I17*'Material properties'!$E$19</f>
        <v>28916.999999999996</v>
      </c>
      <c r="E17" s="53">
        <f>-_xlfn.XLOOKUP(C17,L_Floor!A:A,L_Floor!I:I,0)</f>
        <v>11830.835925000001</v>
      </c>
      <c r="F17" s="53">
        <f>-_xlfn.XLOOKUP(C17,L_Roof!A:A,L_Roof!C:C,0)</f>
        <v>0</v>
      </c>
      <c r="G17" s="53">
        <f>-_xlfn.XLOOKUP(C17,'L_Filling material'!A:A,'L_Filling material'!C:C,0)</f>
        <v>0</v>
      </c>
      <c r="H17" s="59">
        <f t="shared" si="1"/>
        <v>40772.835924999999</v>
      </c>
      <c r="I17" s="53">
        <f t="shared" ca="1" si="0"/>
        <v>145322.40000000002</v>
      </c>
      <c r="J17" s="53">
        <f t="shared" ca="1" si="2"/>
        <v>186070.23592500002</v>
      </c>
    </row>
    <row r="18" spans="1:10" x14ac:dyDescent="0.35">
      <c r="A18" s="53">
        <v>19</v>
      </c>
      <c r="B18" s="53">
        <f>'Pier geometry_1'!B18</f>
        <v>17</v>
      </c>
      <c r="C18" s="53">
        <f>'Pier geometry_1'!C18</f>
        <v>11</v>
      </c>
      <c r="D18" s="53">
        <f>'Pier geometry_1'!G18*'Pier geometry_1'!H18*'Pier geometry_1'!I18*'Material properties'!$E$19</f>
        <v>85050</v>
      </c>
      <c r="E18" s="53">
        <f>-_xlfn.XLOOKUP(C18,L_Floor!A:A,L_Floor!I:I,0)</f>
        <v>10061.2468828125</v>
      </c>
      <c r="F18" s="53">
        <f>-_xlfn.XLOOKUP(C18,L_Roof!A:A,L_Roof!C:C,0)</f>
        <v>0</v>
      </c>
      <c r="G18" s="53">
        <f>-_xlfn.XLOOKUP(C18,'L_Filling material'!A:A,'L_Filling material'!C:C,0)</f>
        <v>9483.9742042004364</v>
      </c>
      <c r="H18" s="59">
        <f t="shared" si="1"/>
        <v>104623.22108701293</v>
      </c>
      <c r="I18" s="53">
        <f t="shared" ca="1" si="0"/>
        <v>124952.41000000002</v>
      </c>
      <c r="J18" s="53">
        <f t="shared" ca="1" si="2"/>
        <v>229547.63108701294</v>
      </c>
    </row>
    <row r="19" spans="1:10" x14ac:dyDescent="0.35">
      <c r="A19" s="53">
        <v>20</v>
      </c>
      <c r="B19" s="53">
        <f>'Pier geometry_1'!B19</f>
        <v>18</v>
      </c>
      <c r="C19" s="53">
        <f>'Pier geometry_1'!C19</f>
        <v>12</v>
      </c>
      <c r="D19" s="53">
        <f>'Pier geometry_1'!G19*'Pier geometry_1'!H19*'Pier geometry_1'!I19*'Material properties'!$E$19</f>
        <v>70761.600000000006</v>
      </c>
      <c r="E19" s="53">
        <f>-_xlfn.XLOOKUP(C19,L_Floor!A:A,L_Floor!I:I,0)</f>
        <v>7142.4551250000013</v>
      </c>
      <c r="F19" s="53">
        <f>-_xlfn.XLOOKUP(C19,L_Roof!A:A,L_Roof!C:C,0)</f>
        <v>0</v>
      </c>
      <c r="G19" s="53">
        <f>-_xlfn.XLOOKUP(C19,'L_Filling material'!A:A,'L_Filling material'!C:C,0)</f>
        <v>3629.856704200437</v>
      </c>
      <c r="H19" s="59">
        <f t="shared" si="1"/>
        <v>81563.911829200457</v>
      </c>
      <c r="I19" s="53">
        <f t="shared" ca="1" si="0"/>
        <v>83258.28</v>
      </c>
      <c r="J19" s="53">
        <f t="shared" ca="1" si="2"/>
        <v>164792.19182920046</v>
      </c>
    </row>
    <row r="20" spans="1:10" x14ac:dyDescent="0.35">
      <c r="A20" s="10"/>
      <c r="B20" s="10"/>
      <c r="C20" s="10"/>
      <c r="D20" s="10"/>
      <c r="E20" s="10"/>
      <c r="F20" s="10"/>
      <c r="G20" s="10"/>
      <c r="H20" s="58"/>
      <c r="I20" s="10"/>
      <c r="J20" s="10"/>
    </row>
    <row r="21" spans="1:10" x14ac:dyDescent="0.35">
      <c r="A21" s="48" t="s">
        <v>38</v>
      </c>
      <c r="B21" s="10"/>
      <c r="C21" s="10"/>
      <c r="D21" s="10"/>
      <c r="E21" s="10"/>
      <c r="F21" s="10"/>
      <c r="G21" s="10"/>
      <c r="H21" s="58"/>
      <c r="I21" s="10"/>
      <c r="J21" s="10"/>
    </row>
    <row r="22" spans="1:10" x14ac:dyDescent="0.35">
      <c r="A22" s="53">
        <v>42</v>
      </c>
      <c r="B22" s="53">
        <f>'Pier geometry_1'!B22</f>
        <v>75</v>
      </c>
      <c r="C22" s="53">
        <f>'Pier geometry_1'!C22</f>
        <v>72</v>
      </c>
      <c r="D22" s="53">
        <f>'Pier geometry_1'!G22*'Pier geometry_1'!H22*'Pier geometry_1'!I22*'Material properties'!$E$19</f>
        <v>70012.800000000003</v>
      </c>
      <c r="E22" s="53">
        <f>-_xlfn.XLOOKUP(C22,L_Floor!A:A,L_Floor!I:I,0)</f>
        <v>23441.599999999999</v>
      </c>
      <c r="F22" s="53">
        <f>-_xlfn.XLOOKUP(C22,L_Roof!A:A,L_Roof!C:C,0)</f>
        <v>6948.4799999999977</v>
      </c>
      <c r="G22" s="53">
        <f>-_xlfn.XLOOKUP(C22,'L_Filling material'!A:A,'L_Filling material'!C:C,0)</f>
        <v>0</v>
      </c>
      <c r="H22" s="59">
        <f t="shared" si="1"/>
        <v>100549.87999999999</v>
      </c>
      <c r="I22" s="53">
        <f t="shared" ref="I22:I31" ca="1" si="3">_xlfn.XLOOKUP(C22,B:B,H:H,0)</f>
        <v>0</v>
      </c>
      <c r="J22" s="53">
        <f t="shared" ca="1" si="2"/>
        <v>100402.87999999999</v>
      </c>
    </row>
    <row r="23" spans="1:10" x14ac:dyDescent="0.35">
      <c r="A23" s="53">
        <v>43</v>
      </c>
      <c r="B23" s="53">
        <f>'Pier geometry_1'!B23</f>
        <v>32</v>
      </c>
      <c r="C23" s="53">
        <f>'Pier geometry_1'!C23</f>
        <v>28</v>
      </c>
      <c r="D23" s="53">
        <f>'Pier geometry_1'!G23*'Pier geometry_1'!H23*'Pier geometry_1'!I23*'Material properties'!$E$19</f>
        <v>90882</v>
      </c>
      <c r="E23" s="53">
        <f>-_xlfn.XLOOKUP(C23,L_Floor!A:A,L_Floor!I:I,0)</f>
        <v>34711.599999999999</v>
      </c>
      <c r="F23" s="53">
        <f>-_xlfn.XLOOKUP(C23,L_Roof!A:A,L_Roof!C:C,0)</f>
        <v>20616.959999999995</v>
      </c>
      <c r="G23" s="53">
        <f>-_xlfn.XLOOKUP(C23,'L_Filling material'!A:A,'L_Filling material'!C:C,0)</f>
        <v>0</v>
      </c>
      <c r="H23" s="59">
        <f t="shared" si="1"/>
        <v>146270.56</v>
      </c>
      <c r="I23" s="53">
        <f t="shared" ca="1" si="3"/>
        <v>0</v>
      </c>
      <c r="J23" s="53">
        <f t="shared" ca="1" si="2"/>
        <v>146210.56</v>
      </c>
    </row>
    <row r="24" spans="1:10" x14ac:dyDescent="0.35">
      <c r="A24" s="53">
        <v>44</v>
      </c>
      <c r="B24" s="53">
        <f>'Pier geometry_1'!B24</f>
        <v>33</v>
      </c>
      <c r="C24" s="53">
        <f>'Pier geometry_1'!C24</f>
        <v>29</v>
      </c>
      <c r="D24" s="53">
        <f>'Pier geometry_1'!G24*'Pier geometry_1'!H24*'Pier geometry_1'!I24*'Material properties'!$E$19</f>
        <v>94248</v>
      </c>
      <c r="E24" s="53">
        <f>-_xlfn.XLOOKUP(C24,L_Floor!A:A,L_Floor!I:I,0)</f>
        <v>30654.399999999998</v>
      </c>
      <c r="F24" s="53">
        <f>-_xlfn.XLOOKUP(C24,L_Roof!A:A,L_Roof!C:C,0)</f>
        <v>18278.400000000001</v>
      </c>
      <c r="G24" s="53">
        <f>-_xlfn.XLOOKUP(C24,'L_Filling material'!A:A,'L_Filling material'!C:C,0)</f>
        <v>0</v>
      </c>
      <c r="H24" s="59">
        <f t="shared" si="1"/>
        <v>143242.79999999999</v>
      </c>
      <c r="I24" s="53">
        <f t="shared" ca="1" si="3"/>
        <v>0</v>
      </c>
      <c r="J24" s="53">
        <f t="shared" ca="1" si="2"/>
        <v>143180.79999999999</v>
      </c>
    </row>
    <row r="25" spans="1:10" x14ac:dyDescent="0.35">
      <c r="A25" s="53">
        <v>45</v>
      </c>
      <c r="B25" s="53">
        <f>'Pier geometry_1'!B25</f>
        <v>34</v>
      </c>
      <c r="C25" s="53">
        <f>'Pier geometry_1'!C25</f>
        <v>30</v>
      </c>
      <c r="D25" s="53">
        <f>'Pier geometry_1'!G25*'Pier geometry_1'!H25*'Pier geometry_1'!I25*'Material properties'!$E$19</f>
        <v>90882</v>
      </c>
      <c r="E25" s="53">
        <f>-_xlfn.XLOOKUP(C25,L_Floor!A:A,L_Floor!I:I,0)</f>
        <v>42825.999999999993</v>
      </c>
      <c r="F25" s="53">
        <f>-_xlfn.XLOOKUP(C25,L_Roof!A:A,L_Roof!C:C,0)</f>
        <v>25482.240000000005</v>
      </c>
      <c r="G25" s="53">
        <f>-_xlfn.XLOOKUP(C25,'L_Filling material'!A:A,'L_Filling material'!C:C,0)</f>
        <v>0</v>
      </c>
      <c r="H25" s="59">
        <f t="shared" si="1"/>
        <v>159254.24</v>
      </c>
      <c r="I25" s="53">
        <f t="shared" ca="1" si="3"/>
        <v>0</v>
      </c>
      <c r="J25" s="53">
        <f t="shared" ca="1" si="2"/>
        <v>159190.24</v>
      </c>
    </row>
    <row r="26" spans="1:10" x14ac:dyDescent="0.35">
      <c r="A26" s="53">
        <v>46</v>
      </c>
      <c r="B26" s="53">
        <f>'Pier geometry_1'!B26</f>
        <v>35</v>
      </c>
      <c r="C26" s="53">
        <f>'Pier geometry_1'!C26</f>
        <v>31</v>
      </c>
      <c r="D26" s="53">
        <f>'Pier geometry_1'!G26*'Pier geometry_1'!H26*'Pier geometry_1'!I26*'Material properties'!$E$19</f>
        <v>70012.800000000003</v>
      </c>
      <c r="E26" s="53">
        <f>-_xlfn.XLOOKUP(C26,L_Floor!A:A,L_Floor!I:I,0)</f>
        <v>23441.599999999999</v>
      </c>
      <c r="F26" s="53">
        <f>-_xlfn.XLOOKUP(C26,L_Roof!A:A,L_Roof!C:C,0)</f>
        <v>6961.92</v>
      </c>
      <c r="G26" s="53">
        <f>-_xlfn.XLOOKUP(C26,'L_Filling material'!A:A,'L_Filling material'!C:C,0)</f>
        <v>0</v>
      </c>
      <c r="H26" s="59">
        <f t="shared" si="1"/>
        <v>100482.31999999999</v>
      </c>
      <c r="I26" s="53">
        <f t="shared" ca="1" si="3"/>
        <v>0</v>
      </c>
      <c r="J26" s="53">
        <f t="shared" ca="1" si="2"/>
        <v>100416.31999999999</v>
      </c>
    </row>
    <row r="27" spans="1:10" x14ac:dyDescent="0.35">
      <c r="A27" s="53">
        <v>51</v>
      </c>
      <c r="B27" s="53">
        <f>'Pier geometry_1'!B27</f>
        <v>78</v>
      </c>
      <c r="C27" s="53">
        <f>'Pier geometry_1'!C27</f>
        <v>75</v>
      </c>
      <c r="D27" s="53">
        <f>'Pier geometry_1'!G27*'Pier geometry_1'!H27*'Pier geometry_1'!I27*'Material properties'!$E$19</f>
        <v>70761.600000000006</v>
      </c>
      <c r="E27" s="53">
        <f>-_xlfn.XLOOKUP(C27,L_Floor!A:A,L_Floor!I:I,0)</f>
        <v>26665.165800000002</v>
      </c>
      <c r="F27" s="53">
        <f>-_xlfn.XLOOKUP(C27,L_Roof!A:A,L_Roof!C:C,0)</f>
        <v>0</v>
      </c>
      <c r="G27" s="53">
        <f>-_xlfn.XLOOKUP(C27,'L_Filling material'!A:A,'L_Filling material'!C:C,0)</f>
        <v>37418.377522297742</v>
      </c>
      <c r="H27" s="59">
        <f t="shared" si="1"/>
        <v>134998.14332229775</v>
      </c>
      <c r="I27" s="53">
        <f t="shared" ca="1" si="3"/>
        <v>100549.87999999999</v>
      </c>
      <c r="J27" s="53">
        <f t="shared" ca="1" si="2"/>
        <v>235395.02332229773</v>
      </c>
    </row>
    <row r="28" spans="1:10" x14ac:dyDescent="0.35">
      <c r="A28" s="53">
        <v>52</v>
      </c>
      <c r="B28" s="53">
        <f>'Pier geometry_1'!B28</f>
        <v>36</v>
      </c>
      <c r="C28" s="53">
        <f>'Pier geometry_1'!C28</f>
        <v>32</v>
      </c>
      <c r="D28" s="53">
        <f>'Pier geometry_1'!G28*'Pier geometry_1'!H28*'Pier geometry_1'!I28*'Material properties'!$E$19</f>
        <v>91854.000000000015</v>
      </c>
      <c r="E28" s="53">
        <f>-_xlfn.XLOOKUP(C28,L_Floor!A:A,L_Floor!I:I,0)</f>
        <v>39484.957050000005</v>
      </c>
      <c r="F28" s="53">
        <f>-_xlfn.XLOOKUP(C28,L_Roof!A:A,L_Roof!C:C,0)</f>
        <v>0</v>
      </c>
      <c r="G28" s="53">
        <f>-_xlfn.XLOOKUP(C28,'L_Filling material'!A:A,'L_Filling material'!C:C,0)</f>
        <v>55512.370521474608</v>
      </c>
      <c r="H28" s="59">
        <f t="shared" si="1"/>
        <v>186919.32757147463</v>
      </c>
      <c r="I28" s="53">
        <f t="shared" ca="1" si="3"/>
        <v>146270.56</v>
      </c>
      <c r="J28" s="53">
        <f t="shared" ca="1" si="2"/>
        <v>333121.88757147465</v>
      </c>
    </row>
    <row r="29" spans="1:10" x14ac:dyDescent="0.35">
      <c r="A29" s="53">
        <v>53</v>
      </c>
      <c r="B29" s="53">
        <f>'Pier geometry_1'!B29</f>
        <v>37</v>
      </c>
      <c r="C29" s="53">
        <f>'Pier geometry_1'!C29</f>
        <v>33</v>
      </c>
      <c r="D29" s="53">
        <f>'Pier geometry_1'!G29*'Pier geometry_1'!H29*'Pier geometry_1'!I29*'Material properties'!$E$19</f>
        <v>95256</v>
      </c>
      <c r="E29" s="53">
        <f>-_xlfn.XLOOKUP(C29,L_Floor!A:A,L_Floor!I:I,0)</f>
        <v>34869.832200000004</v>
      </c>
      <c r="F29" s="53">
        <f>-_xlfn.XLOOKUP(C29,L_Roof!A:A,L_Roof!C:C,0)</f>
        <v>0</v>
      </c>
      <c r="G29" s="53">
        <f>-_xlfn.XLOOKUP(C29,'L_Filling material'!A:A,'L_Filling material'!C:C,0)</f>
        <v>49215.66095776108</v>
      </c>
      <c r="H29" s="59">
        <f t="shared" si="1"/>
        <v>179411.49315776108</v>
      </c>
      <c r="I29" s="53">
        <f t="shared" ca="1" si="3"/>
        <v>143242.79999999999</v>
      </c>
      <c r="J29" s="53">
        <f t="shared" ca="1" si="2"/>
        <v>322584.2931577611</v>
      </c>
    </row>
    <row r="30" spans="1:10" x14ac:dyDescent="0.35">
      <c r="A30" s="53">
        <v>54</v>
      </c>
      <c r="B30" s="53">
        <f>'Pier geometry_1'!B30</f>
        <v>38</v>
      </c>
      <c r="C30" s="53">
        <f>'Pier geometry_1'!C30</f>
        <v>34</v>
      </c>
      <c r="D30" s="53">
        <f>'Pier geometry_1'!G30*'Pier geometry_1'!H30*'Pier geometry_1'!I30*'Material properties'!$E$19</f>
        <v>91854.000000000015</v>
      </c>
      <c r="E30" s="53">
        <f>-_xlfn.XLOOKUP(C30,L_Floor!A:A,L_Floor!I:I,0)</f>
        <v>48715.206750000005</v>
      </c>
      <c r="F30" s="53">
        <f>-_xlfn.XLOOKUP(C30,L_Roof!A:A,L_Roof!C:C,0)</f>
        <v>0</v>
      </c>
      <c r="G30" s="53">
        <f>-_xlfn.XLOOKUP(C30,'L_Filling material'!A:A,'L_Filling material'!C:C,0)</f>
        <v>68612.421452878683</v>
      </c>
      <c r="H30" s="59">
        <f t="shared" si="1"/>
        <v>209253.6282028787</v>
      </c>
      <c r="I30" s="53">
        <f t="shared" ca="1" si="3"/>
        <v>159254.24</v>
      </c>
      <c r="J30" s="53">
        <f t="shared" ca="1" si="2"/>
        <v>368435.86820287869</v>
      </c>
    </row>
    <row r="31" spans="1:10" x14ac:dyDescent="0.35">
      <c r="A31" s="53">
        <v>55</v>
      </c>
      <c r="B31" s="53">
        <f>'Pier geometry_1'!B31</f>
        <v>39</v>
      </c>
      <c r="C31" s="53">
        <f>'Pier geometry_1'!C31</f>
        <v>35</v>
      </c>
      <c r="D31" s="53">
        <f>'Pier geometry_1'!G31*'Pier geometry_1'!H31*'Pier geometry_1'!I31*'Material properties'!$E$19</f>
        <v>70761.600000000006</v>
      </c>
      <c r="E31" s="53">
        <f>-_xlfn.XLOOKUP(C31,L_Floor!A:A,L_Floor!I:I,0)</f>
        <v>26665.165800000002</v>
      </c>
      <c r="F31" s="53">
        <f>-_xlfn.XLOOKUP(C31,L_Roof!A:A,L_Roof!C:C,0)</f>
        <v>0</v>
      </c>
      <c r="G31" s="53">
        <f>-_xlfn.XLOOKUP(C31,'L_Filling material'!A:A,'L_Filling material'!C:C,0)</f>
        <v>37490.753494294462</v>
      </c>
      <c r="H31" s="59">
        <f t="shared" si="1"/>
        <v>134991.51929429447</v>
      </c>
      <c r="I31" s="53">
        <f t="shared" ca="1" si="3"/>
        <v>100482.31999999999</v>
      </c>
      <c r="J31" s="53">
        <f t="shared" ca="1" si="2"/>
        <v>235399.83929429448</v>
      </c>
    </row>
    <row r="32" spans="1:10" x14ac:dyDescent="0.35">
      <c r="A32" s="10"/>
      <c r="B32" s="10"/>
      <c r="C32" s="10"/>
      <c r="D32" s="10"/>
      <c r="E32" s="10"/>
      <c r="F32" s="10"/>
      <c r="G32" s="10"/>
      <c r="H32" s="58"/>
      <c r="I32" s="10"/>
      <c r="J32" s="10"/>
    </row>
    <row r="33" spans="1:10" x14ac:dyDescent="0.35">
      <c r="A33" s="48" t="s">
        <v>40</v>
      </c>
      <c r="B33" s="10"/>
      <c r="C33" s="10"/>
      <c r="D33" s="10"/>
      <c r="E33" s="10"/>
      <c r="F33" s="10"/>
      <c r="G33" s="10"/>
      <c r="H33" s="58"/>
      <c r="I33" s="10"/>
      <c r="J33" s="10"/>
    </row>
    <row r="34" spans="1:10" x14ac:dyDescent="0.35">
      <c r="A34" s="55">
        <v>75</v>
      </c>
      <c r="B34" s="55">
        <f>'Pier geometry_1'!B34</f>
        <v>89</v>
      </c>
      <c r="C34" s="55">
        <f>'Pier geometry_1'!C34</f>
        <v>88</v>
      </c>
      <c r="D34" s="55">
        <f>'Pier geometry_1'!G34*'Pier geometry_1'!H34*'Pier geometry_1'!I34*'Material properties'!$E$19</f>
        <v>68544</v>
      </c>
      <c r="E34" s="55">
        <f>-_xlfn.XLOOKUP(C34,L_Floor!A:A,L_Floor!I:I,0)</f>
        <v>47720.4</v>
      </c>
      <c r="F34" s="55">
        <f>-_xlfn.XLOOKUP(C34,L_Roof!A:A,L_Roof!C:C,0)</f>
        <v>0</v>
      </c>
      <c r="G34" s="55">
        <f>-_xlfn.XLOOKUP(C34,'L_Filling material'!A:A,'L_Filling material'!C:C,0)</f>
        <v>0</v>
      </c>
      <c r="H34" s="60">
        <f t="shared" ref="H34:H49" si="4">SUM(B34:G34)</f>
        <v>116441.4</v>
      </c>
      <c r="I34" s="55">
        <f ca="1">_xlfn.XLOOKUP(C34,B:B,H:H,0)</f>
        <v>0</v>
      </c>
      <c r="J34" s="55">
        <f t="shared" ref="J34:J49" ca="1" si="5">SUM(D34:G34,I34)</f>
        <v>116264.4</v>
      </c>
    </row>
    <row r="35" spans="1:10" x14ac:dyDescent="0.35">
      <c r="A35" s="55" t="s">
        <v>85</v>
      </c>
      <c r="B35" s="55">
        <f>'Pier geometry_1'!B35</f>
        <v>46</v>
      </c>
      <c r="C35" s="55">
        <f>'Pier geometry_1'!C35</f>
        <v>43</v>
      </c>
      <c r="D35" s="55">
        <f>'Pier geometry_1'!G35*'Pier geometry_1'!H35*'Pier geometry_1'!I35*'Material properties'!$E$19</f>
        <v>150307.20000000001</v>
      </c>
      <c r="E35" s="55">
        <f>-_xlfn.XLOOKUP(C36,L_Floor!A:A,L_Floor!I:I,0)-_xlfn.XLOOKUP(C35,L_Floor!A:A,L_Floor!I:I,0)</f>
        <v>92800.4</v>
      </c>
      <c r="F35" s="55">
        <f>-_xlfn.XLOOKUP(C36,L_Roof!A:A,L_Roof!C:C,0)-_xlfn.XLOOKUP(C35,L_Roof!A:A,L_Roof!C:C,0)</f>
        <v>32255.999999999996</v>
      </c>
      <c r="G35" s="55">
        <f>-_xlfn.XLOOKUP(C36,'L_Filling material'!A:A,'L_Filling material'!C:C,0)-_xlfn.XLOOKUP(C35,'L_Filling material'!A:A,'L_Filling material'!C:C,0)</f>
        <v>0</v>
      </c>
      <c r="H35" s="60">
        <f>SUM(B35:G35)</f>
        <v>275452.59999999998</v>
      </c>
      <c r="I35" s="55">
        <f ca="1">_xlfn.XLOOKUP(C36,B:B,H:H,0)+_xlfn.XLOOKUP(C35,B:B,H:H,0)</f>
        <v>0</v>
      </c>
      <c r="J35" s="55">
        <f t="shared" ref="J35" ca="1" si="6">SUM(D35:G35,I35)</f>
        <v>275363.59999999998</v>
      </c>
    </row>
    <row r="36" spans="1:10" x14ac:dyDescent="0.35">
      <c r="A36" s="55"/>
      <c r="B36" s="55">
        <f>'Pier geometry_1'!B36</f>
        <v>47</v>
      </c>
      <c r="C36" s="55">
        <f>'Pier geometry_1'!C36</f>
        <v>44</v>
      </c>
      <c r="D36" s="55"/>
      <c r="E36" s="55"/>
      <c r="F36" s="55"/>
      <c r="G36" s="55"/>
      <c r="H36" s="60"/>
      <c r="I36" s="55"/>
      <c r="J36" s="55"/>
    </row>
    <row r="37" spans="1:10" x14ac:dyDescent="0.35">
      <c r="A37" s="55">
        <v>78</v>
      </c>
      <c r="B37" s="55">
        <f>'Pier geometry_1'!B37</f>
        <v>48</v>
      </c>
      <c r="C37" s="55">
        <f>'Pier geometry_1'!C37</f>
        <v>45</v>
      </c>
      <c r="D37" s="55">
        <f>'Pier geometry_1'!G37*'Pier geometry_1'!H37*'Pier geometry_1'!I37*'Material properties'!$E$19</f>
        <v>37699.199999999997</v>
      </c>
      <c r="E37" s="55">
        <f>-_xlfn.XLOOKUP(C37,L_Floor!A:A,L_Floor!I:I,0)</f>
        <v>78495.55</v>
      </c>
      <c r="F37" s="55">
        <f>-_xlfn.XLOOKUP(C37,L_Roof!A:A,L_Roof!C:C,0)</f>
        <v>32255.999999999996</v>
      </c>
      <c r="G37" s="55">
        <f>-_xlfn.XLOOKUP(C37,'L_Filling material'!A:A,'L_Filling material'!C:C,0)</f>
        <v>0</v>
      </c>
      <c r="H37" s="60">
        <f t="shared" si="4"/>
        <v>148543.75</v>
      </c>
      <c r="I37" s="55">
        <f ca="1">_xlfn.XLOOKUP(C37,B:B,H:H,0)</f>
        <v>0</v>
      </c>
      <c r="J37" s="55">
        <f t="shared" ca="1" si="5"/>
        <v>148450.75</v>
      </c>
    </row>
    <row r="38" spans="1:10" x14ac:dyDescent="0.35">
      <c r="A38" s="55">
        <v>79</v>
      </c>
      <c r="B38" s="55">
        <f>'Pier geometry_1'!B38</f>
        <v>74</v>
      </c>
      <c r="C38" s="55">
        <f>'Pier geometry_1'!C38</f>
        <v>71</v>
      </c>
      <c r="D38" s="55">
        <f>'Pier geometry_1'!G38*'Pier geometry_1'!H38*'Pier geometry_1'!I38*'Material properties'!$E$19</f>
        <v>66096</v>
      </c>
      <c r="E38" s="55">
        <f>-_xlfn.XLOOKUP(C38,L_Floor!A:A,L_Floor!I:I,0)</f>
        <v>41022.800000000003</v>
      </c>
      <c r="F38" s="55">
        <f>-_xlfn.XLOOKUP(C38,L_Roof!A:A,L_Roof!C:C,0)</f>
        <v>0</v>
      </c>
      <c r="G38" s="55">
        <f>-_xlfn.XLOOKUP(C38,'L_Filling material'!A:A,'L_Filling material'!C:C,0)</f>
        <v>0</v>
      </c>
      <c r="H38" s="60">
        <f t="shared" si="4"/>
        <v>107263.8</v>
      </c>
      <c r="I38" s="55">
        <f ca="1">_xlfn.XLOOKUP(C38,B:B,H:H,0)</f>
        <v>0</v>
      </c>
      <c r="J38" s="55">
        <f t="shared" ca="1" si="5"/>
        <v>107118.8</v>
      </c>
    </row>
    <row r="39" spans="1:10" x14ac:dyDescent="0.35">
      <c r="A39" s="55">
        <v>83</v>
      </c>
      <c r="B39" s="55">
        <f>'Pier geometry_1'!B39</f>
        <v>90</v>
      </c>
      <c r="C39" s="55">
        <f>'Pier geometry_1'!C39</f>
        <v>89</v>
      </c>
      <c r="D39" s="55">
        <f>'Pier geometry_1'!G39*'Pier geometry_1'!H39*'Pier geometry_1'!I39*'Material properties'!$E$19</f>
        <v>95256</v>
      </c>
      <c r="E39" s="55">
        <f>-_xlfn.XLOOKUP(C39,L_Floor!A:A,L_Floor!I:I,0)</f>
        <v>26665.165800000002</v>
      </c>
      <c r="F39" s="55">
        <f>-_xlfn.XLOOKUP(C39,L_Roof!A:A,L_Roof!C:C,0)</f>
        <v>0</v>
      </c>
      <c r="G39" s="55">
        <f>-_xlfn.XLOOKUP(C39,'L_Filling material'!A:A,'L_Filling material'!C:C,0)</f>
        <v>37490.753494294462</v>
      </c>
      <c r="H39" s="60">
        <f t="shared" si="4"/>
        <v>159590.91929429446</v>
      </c>
      <c r="I39" s="55">
        <f ca="1">_xlfn.XLOOKUP(C39,B:B,H:H,0)</f>
        <v>116441.4</v>
      </c>
      <c r="J39" s="55">
        <f t="shared" ca="1" si="5"/>
        <v>275853.31929429446</v>
      </c>
    </row>
    <row r="40" spans="1:10" x14ac:dyDescent="0.35">
      <c r="A40" s="55" t="s">
        <v>86</v>
      </c>
      <c r="B40" s="55">
        <f>'Pier geometry_1'!B40</f>
        <v>49</v>
      </c>
      <c r="C40" s="55">
        <f>'Pier geometry_1'!C40</f>
        <v>46</v>
      </c>
      <c r="D40" s="55">
        <f>'Pier geometry_1'!G40*'Pier geometry_1'!H40*'Pier geometry_1'!I40*'Material properties'!$E$19</f>
        <v>208882.80000000002</v>
      </c>
      <c r="E40" s="55">
        <f>-_xlfn.XLOOKUP(C41,L_Floor!A:A,L_Floor!I:I,0)-_xlfn.XLOOKUP(C40,L_Floor!A:A,L_Floor!I:I,0)</f>
        <v>88706.747008237508</v>
      </c>
      <c r="F40" s="55">
        <f>-_xlfn.XLOOKUP(C41,L_Roof!A:A,L_Roof!C:C,0)-_xlfn.XLOOKUP(C40,L_Roof!A:A,L_Roof!C:C,0)</f>
        <v>0</v>
      </c>
      <c r="G40" s="55">
        <f>-_xlfn.XLOOKUP(C41,'L_Filling material'!A:A,'L_Filling material'!C:C,0)-_xlfn.XLOOKUP(C40,'L_Filling material'!A:A,'L_Filling material'!C:C,0)</f>
        <v>117828.08241063976</v>
      </c>
      <c r="H40" s="60">
        <f>SUM(B40:G40)</f>
        <v>415512.6294188773</v>
      </c>
      <c r="I40" s="55">
        <f ca="1">_xlfn.XLOOKUP(C41,B:B,H:H,0)+_xlfn.XLOOKUP(C40,B:B,H:H,0)</f>
        <v>275452.59999999998</v>
      </c>
      <c r="J40" s="55">
        <f ca="1">SUM(D40:G40,I40)</f>
        <v>690870.22941887728</v>
      </c>
    </row>
    <row r="41" spans="1:10" x14ac:dyDescent="0.35">
      <c r="A41" s="55"/>
      <c r="B41" s="55">
        <f>'Pier geometry_1'!B41</f>
        <v>50</v>
      </c>
      <c r="C41" s="55">
        <f>'Pier geometry_1'!C41</f>
        <v>47</v>
      </c>
      <c r="D41" s="55"/>
      <c r="E41" s="55"/>
      <c r="F41" s="55"/>
      <c r="G41" s="55"/>
      <c r="H41" s="60"/>
      <c r="I41" s="55"/>
      <c r="J41" s="55"/>
    </row>
    <row r="42" spans="1:10" x14ac:dyDescent="0.35">
      <c r="A42" s="55">
        <v>86</v>
      </c>
      <c r="B42" s="55">
        <f>'Pier geometry_1'!B42</f>
        <v>51</v>
      </c>
      <c r="C42" s="55">
        <f>'Pier geometry_1'!C42</f>
        <v>48</v>
      </c>
      <c r="D42" s="55">
        <f>'Pier geometry_1'!G42*'Pier geometry_1'!H42*'Pier geometry_1'!I42*'Material properties'!$E$19</f>
        <v>52390.8</v>
      </c>
      <c r="E42" s="55">
        <f>-_xlfn.XLOOKUP(C42,L_Floor!A:A,L_Floor!I:I,0)</f>
        <v>39484.957050000005</v>
      </c>
      <c r="F42" s="55">
        <f>-_xlfn.XLOOKUP(C42,L_Roof!A:A,L_Roof!C:C,0)</f>
        <v>0</v>
      </c>
      <c r="G42" s="55">
        <f>-_xlfn.XLOOKUP(C42,'L_Filling material'!A:A,'L_Filling material'!C:C,0)</f>
        <v>55512.370521474608</v>
      </c>
      <c r="H42" s="60">
        <f t="shared" si="4"/>
        <v>147487.12757147462</v>
      </c>
      <c r="I42" s="55">
        <f ca="1">_xlfn.XLOOKUP(C42,B:B,H:H,0)</f>
        <v>148543.75</v>
      </c>
      <c r="J42" s="55">
        <f t="shared" ca="1" si="5"/>
        <v>295931.87757147464</v>
      </c>
    </row>
    <row r="43" spans="1:10" x14ac:dyDescent="0.35">
      <c r="A43" s="55">
        <v>87</v>
      </c>
      <c r="B43" s="55">
        <f>'Pier geometry_1'!B43</f>
        <v>77</v>
      </c>
      <c r="C43" s="55">
        <f>'Pier geometry_1'!C43</f>
        <v>74</v>
      </c>
      <c r="D43" s="55">
        <f>'Pier geometry_1'!G43*'Pier geometry_1'!H43*'Pier geometry_1'!I43*'Material properties'!$E$19</f>
        <v>91854.000000000015</v>
      </c>
      <c r="E43" s="55">
        <f>-_xlfn.XLOOKUP(C43,L_Floor!A:A,L_Floor!I:I,0)</f>
        <v>26665.165800000002</v>
      </c>
      <c r="F43" s="55">
        <f>-_xlfn.XLOOKUP(C43,L_Roof!A:A,L_Roof!C:C,0)</f>
        <v>0</v>
      </c>
      <c r="G43" s="55">
        <f>-_xlfn.XLOOKUP(C43,'L_Filling material'!A:A,'L_Filling material'!C:C,0)</f>
        <v>37418.377522297742</v>
      </c>
      <c r="H43" s="60">
        <f t="shared" si="4"/>
        <v>156088.54332229774</v>
      </c>
      <c r="I43" s="55">
        <f ca="1">_xlfn.XLOOKUP(C43,B:B,H:H,0)</f>
        <v>107263.8</v>
      </c>
      <c r="J43" s="55">
        <f t="shared" ca="1" si="5"/>
        <v>263201.34332229773</v>
      </c>
    </row>
    <row r="44" spans="1:10" x14ac:dyDescent="0.35">
      <c r="A44" s="10"/>
      <c r="B44" s="10"/>
      <c r="C44" s="10"/>
      <c r="D44" s="10"/>
      <c r="E44" s="10"/>
      <c r="F44" s="10"/>
      <c r="G44" s="10"/>
      <c r="H44" s="58"/>
      <c r="I44" s="10"/>
      <c r="J44" s="10"/>
    </row>
    <row r="45" spans="1:10" x14ac:dyDescent="0.35">
      <c r="A45" s="48" t="s">
        <v>43</v>
      </c>
      <c r="B45" s="10"/>
      <c r="C45" s="10"/>
      <c r="D45" s="10"/>
      <c r="E45" s="10"/>
      <c r="F45" s="10"/>
      <c r="G45" s="10"/>
      <c r="H45" s="58"/>
      <c r="I45" s="10"/>
      <c r="J45" s="10"/>
    </row>
    <row r="46" spans="1:10" x14ac:dyDescent="0.35">
      <c r="A46" s="55">
        <v>113</v>
      </c>
      <c r="B46" s="55">
        <f>'Pier geometry_1'!B46</f>
        <v>101</v>
      </c>
      <c r="C46" s="55">
        <f>'Pier geometry_1'!C46</f>
        <v>100</v>
      </c>
      <c r="D46" s="55">
        <f>'Pier geometry_1'!G46*'Pier geometry_1'!H46*'Pier geometry_1'!I46*'Material properties'!$E$19</f>
        <v>17136</v>
      </c>
      <c r="E46" s="55">
        <f>-_xlfn.XLOOKUP(C46,L_Floor!A:A,L_Floor!I:I,0)</f>
        <v>23860.2</v>
      </c>
      <c r="F46" s="55">
        <f>-_xlfn.XLOOKUP(C46,L_Roof!A:A,L_Roof!C:C,0)</f>
        <v>0</v>
      </c>
      <c r="G46" s="55">
        <f>-_xlfn.XLOOKUP(C46,'L_Filling material'!A:A,'L_Filling material'!C:C,0)</f>
        <v>0</v>
      </c>
      <c r="H46" s="60">
        <f t="shared" si="4"/>
        <v>41197.199999999997</v>
      </c>
      <c r="I46" s="55">
        <f ca="1">_xlfn.XLOOKUP(C46,B:B,H:H,0)</f>
        <v>0</v>
      </c>
      <c r="J46" s="55">
        <f t="shared" ca="1" si="5"/>
        <v>40996.199999999997</v>
      </c>
    </row>
    <row r="47" spans="1:10" x14ac:dyDescent="0.35">
      <c r="A47" s="55">
        <v>114</v>
      </c>
      <c r="B47" s="55">
        <f>'Pier geometry_1'!B47</f>
        <v>73</v>
      </c>
      <c r="C47" s="55">
        <f>'Pier geometry_1'!C47</f>
        <v>70</v>
      </c>
      <c r="D47" s="55">
        <f>'Pier geometry_1'!G47*'Pier geometry_1'!H47*'Pier geometry_1'!I47*'Material properties'!$E$19</f>
        <v>85190.400000000009</v>
      </c>
      <c r="E47" s="55">
        <f>-_xlfn.XLOOKUP(C47,L_Floor!A:A,L_Floor!I:I,0)</f>
        <v>23860.2</v>
      </c>
      <c r="F47" s="55">
        <f>-_xlfn.XLOOKUP(C47,L_Roof!A:A,L_Roof!C:C,0)</f>
        <v>0</v>
      </c>
      <c r="G47" s="55">
        <f>-_xlfn.XLOOKUP(C47,'L_Filling material'!A:A,'L_Filling material'!C:C,0)</f>
        <v>0</v>
      </c>
      <c r="H47" s="60">
        <f t="shared" si="4"/>
        <v>109193.60000000001</v>
      </c>
      <c r="I47" s="55">
        <f ca="1">_xlfn.XLOOKUP(C47,B:B,H:H,0)</f>
        <v>0</v>
      </c>
      <c r="J47" s="55">
        <f t="shared" ca="1" si="5"/>
        <v>109050.6</v>
      </c>
    </row>
    <row r="48" spans="1:10" x14ac:dyDescent="0.35">
      <c r="A48" s="55">
        <v>116</v>
      </c>
      <c r="B48" s="55">
        <f>'Pier geometry_1'!B48</f>
        <v>102</v>
      </c>
      <c r="C48" s="55">
        <f>'Pier geometry_1'!C48</f>
        <v>101</v>
      </c>
      <c r="D48" s="55">
        <f>'Pier geometry_1'!G48*'Pier geometry_1'!H48*'Pier geometry_1'!I48*'Material properties'!$E$19</f>
        <v>13608</v>
      </c>
      <c r="E48" s="55">
        <f>-_xlfn.XLOOKUP(C48,L_Floor!A:A,L_Floor!I:I,0)</f>
        <v>7142.4551250000013</v>
      </c>
      <c r="F48" s="55">
        <f>-_xlfn.XLOOKUP(C48,L_Roof!A:A,L_Roof!C:C,0)</f>
        <v>0</v>
      </c>
      <c r="G48" s="55">
        <f>-_xlfn.XLOOKUP(C48,'L_Filling material'!A:A,'L_Filling material'!C:C,0)</f>
        <v>9483.9742042004364</v>
      </c>
      <c r="H48" s="60">
        <f t="shared" si="4"/>
        <v>30437.429329200437</v>
      </c>
      <c r="I48" s="55">
        <f ca="1">_xlfn.XLOOKUP(C48,B:B,H:H,0)</f>
        <v>41197.199999999997</v>
      </c>
      <c r="J48" s="55">
        <f t="shared" ca="1" si="5"/>
        <v>71431.629329200427</v>
      </c>
    </row>
    <row r="49" spans="1:10" x14ac:dyDescent="0.35">
      <c r="A49" s="55">
        <v>117</v>
      </c>
      <c r="B49" s="55">
        <f>'Pier geometry_1'!B49</f>
        <v>76</v>
      </c>
      <c r="C49" s="55">
        <f>'Pier geometry_1'!C49</f>
        <v>73</v>
      </c>
      <c r="D49" s="55">
        <f>'Pier geometry_1'!G49*'Pier geometry_1'!H49*'Pier geometry_1'!I49*'Material properties'!$E$19</f>
        <v>67651.200000000012</v>
      </c>
      <c r="E49" s="55">
        <f>-_xlfn.XLOOKUP(C49,L_Floor!A:A,L_Floor!I:I,0)</f>
        <v>7142.4551250000013</v>
      </c>
      <c r="F49" s="55">
        <f>-_xlfn.XLOOKUP(C49,L_Roof!A:A,L_Roof!C:C,0)</f>
        <v>0</v>
      </c>
      <c r="G49" s="55">
        <f>-_xlfn.XLOOKUP(C49,'L_Filling material'!A:A,'L_Filling material'!C:C,0)</f>
        <v>3629.856704200437</v>
      </c>
      <c r="H49" s="60">
        <f t="shared" si="4"/>
        <v>78572.511829200463</v>
      </c>
      <c r="I49" s="55">
        <f ca="1">_xlfn.XLOOKUP(C49,B:B,H:H,0)</f>
        <v>109193.60000000001</v>
      </c>
      <c r="J49" s="55">
        <f t="shared" ca="1" si="5"/>
        <v>187617.11182920047</v>
      </c>
    </row>
    <row r="50" spans="1:10" x14ac:dyDescent="0.35">
      <c r="A50" s="10"/>
      <c r="B50" s="10"/>
      <c r="C50" s="10"/>
    </row>
  </sheetData>
  <pageMargins left="0.7" right="0.7" top="0.78740157499999996" bottom="0.78740157499999996" header="0.3" footer="0.3"/>
  <pageSetup paperSize="9" scale="70" fitToWidth="0" fitToHeight="0" orientation="portrait" r:id="rId1"/>
  <headerFooter>
    <oddHeader>&amp;LMaster Thesis 2023/2024&amp;CSt. Lawrence Parish House,
Petrinja, Croatia&amp;R&amp;G</oddHeader>
    <oddFooter>&amp;L&amp;A&amp;CModel: Initial and Retrofitted State&amp;R&amp;P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990A5-B595-4176-971C-218D9F36DAC7}">
  <sheetPr codeName="Tabelle5">
    <tabColor theme="4"/>
  </sheetPr>
  <dimension ref="A1:J49"/>
  <sheetViews>
    <sheetView view="pageLayout" zoomScale="70" zoomScaleNormal="100" zoomScalePageLayoutView="70" workbookViewId="0">
      <selection activeCell="B3" sqref="B3"/>
    </sheetView>
  </sheetViews>
  <sheetFormatPr baseColWidth="10" defaultColWidth="5.9140625" defaultRowHeight="14.5" x14ac:dyDescent="0.35"/>
  <cols>
    <col min="1" max="1" width="11.08203125" style="9" bestFit="1" customWidth="1"/>
    <col min="2" max="2" width="9.9140625" style="9" bestFit="1" customWidth="1"/>
    <col min="3" max="3" width="11.08203125" style="9" bestFit="1" customWidth="1"/>
    <col min="4" max="4" width="12.25" bestFit="1" customWidth="1"/>
    <col min="5" max="6" width="8.9140625" bestFit="1" customWidth="1"/>
    <col min="7" max="7" width="9.1640625" bestFit="1" customWidth="1"/>
    <col min="8" max="8" width="12.83203125" style="30" bestFit="1" customWidth="1"/>
    <col min="9" max="9" width="12.83203125" bestFit="1" customWidth="1"/>
    <col min="10" max="10" width="9.25" bestFit="1" customWidth="1"/>
    <col min="11" max="11" width="7.5" bestFit="1" customWidth="1"/>
    <col min="12" max="18" width="14.33203125" customWidth="1"/>
    <col min="19" max="19" width="11.75" customWidth="1"/>
  </cols>
  <sheetData>
    <row r="1" spans="1:10" ht="18" x14ac:dyDescent="0.4">
      <c r="A1" s="23" t="s">
        <v>131</v>
      </c>
      <c r="B1" s="18"/>
      <c r="C1" s="18"/>
      <c r="D1" s="19"/>
      <c r="E1" s="19"/>
      <c r="F1" s="19"/>
      <c r="G1" s="19"/>
      <c r="H1" s="19"/>
      <c r="I1" s="19"/>
      <c r="J1" s="19"/>
    </row>
    <row r="2" spans="1:10" s="4" customFormat="1" ht="14" x14ac:dyDescent="0.3"/>
    <row r="3" spans="1:10" s="4" customFormat="1" ht="14" x14ac:dyDescent="0.3">
      <c r="A3" s="91" t="s">
        <v>166</v>
      </c>
      <c r="B3" s="4" t="s">
        <v>167</v>
      </c>
      <c r="H3" s="74"/>
      <c r="I3" s="75"/>
      <c r="J3" s="76"/>
    </row>
    <row r="4" spans="1:10" s="4" customFormat="1" ht="14" x14ac:dyDescent="0.3">
      <c r="A4" s="91" t="s">
        <v>2</v>
      </c>
      <c r="B4" s="49">
        <f ca="1">TODAY()</f>
        <v>45308</v>
      </c>
      <c r="C4" s="5"/>
      <c r="D4" s="5"/>
      <c r="E4" s="5"/>
      <c r="H4" s="74"/>
      <c r="I4" s="75"/>
      <c r="J4" s="76"/>
    </row>
    <row r="5" spans="1:10" s="4" customFormat="1" ht="14" x14ac:dyDescent="0.3">
      <c r="A5" s="91" t="s">
        <v>3</v>
      </c>
      <c r="B5" s="4" t="s">
        <v>129</v>
      </c>
    </row>
    <row r="6" spans="1:10" s="4" customFormat="1" ht="14" x14ac:dyDescent="0.3"/>
    <row r="7" spans="1:10" s="40" customFormat="1" ht="30" customHeight="1" thickBot="1" x14ac:dyDescent="0.35">
      <c r="A7" s="63" t="s">
        <v>79</v>
      </c>
      <c r="B7" s="63" t="s">
        <v>80</v>
      </c>
      <c r="C7" s="63" t="s">
        <v>81</v>
      </c>
      <c r="D7" s="33" t="s">
        <v>88</v>
      </c>
      <c r="E7" s="33" t="s">
        <v>94</v>
      </c>
      <c r="F7" s="33" t="s">
        <v>95</v>
      </c>
      <c r="G7" s="33" t="s">
        <v>96</v>
      </c>
      <c r="H7" s="64" t="s">
        <v>97</v>
      </c>
      <c r="I7" s="33" t="s">
        <v>130</v>
      </c>
      <c r="J7" s="33" t="s">
        <v>65</v>
      </c>
    </row>
    <row r="8" spans="1:10" s="42" customFormat="1" ht="14" x14ac:dyDescent="0.3">
      <c r="A8" s="46" t="s">
        <v>37</v>
      </c>
      <c r="D8" s="44" t="s">
        <v>89</v>
      </c>
      <c r="E8" s="44" t="s">
        <v>89</v>
      </c>
      <c r="F8" s="46" t="s">
        <v>89</v>
      </c>
      <c r="G8" s="46" t="s">
        <v>89</v>
      </c>
      <c r="H8" s="43" t="s">
        <v>89</v>
      </c>
      <c r="I8" s="46" t="s">
        <v>89</v>
      </c>
      <c r="J8" s="46" t="s">
        <v>89</v>
      </c>
    </row>
    <row r="9" spans="1:10" x14ac:dyDescent="0.35">
      <c r="A9" s="53">
        <v>28</v>
      </c>
      <c r="B9" s="53">
        <v>22</v>
      </c>
      <c r="C9" s="53">
        <v>19</v>
      </c>
      <c r="D9" s="53">
        <f>'Pier geometry_2'!G9*'Pier geometry_2'!H9*'Pier geometry_2'!I9*'Material properties'!$E$19</f>
        <v>76744.799999999988</v>
      </c>
      <c r="E9" s="53">
        <f>-_xlfn.XLOOKUP(C9,L_Floor!A:A,L_Floor!I:I,0)</f>
        <v>0</v>
      </c>
      <c r="F9" s="53">
        <f>-_xlfn.XLOOKUP(C9,L_Roof!A:A,L_Roof!C:C,0)</f>
        <v>14302.080000000005</v>
      </c>
      <c r="G9" s="53">
        <f>-_xlfn.XLOOKUP(C9,'L_Filling material'!A:A,'L_Filling material'!C:C,0)</f>
        <v>0</v>
      </c>
      <c r="H9" s="59">
        <f>SUM(B9:G9)</f>
        <v>91087.87999999999</v>
      </c>
      <c r="I9" s="53">
        <f t="shared" ref="I9:I14" ca="1" si="0">_xlfn.XLOOKUP(C9,B:B,H:H,0)</f>
        <v>0</v>
      </c>
      <c r="J9" s="53">
        <f ca="1">SUM(D9:G9,I9)</f>
        <v>91046.87999999999</v>
      </c>
    </row>
    <row r="10" spans="1:10" x14ac:dyDescent="0.35">
      <c r="A10" s="53">
        <v>29</v>
      </c>
      <c r="B10" s="53">
        <v>23</v>
      </c>
      <c r="C10" s="53">
        <v>20</v>
      </c>
      <c r="D10" s="53">
        <f>'Pier geometry_2'!G10*'Pier geometry_2'!H10*'Pier geometry_2'!I10*'Material properties'!$E$19</f>
        <v>148104.00000000003</v>
      </c>
      <c r="E10" s="53">
        <f>-_xlfn.XLOOKUP(C10,L_Floor!A:A,L_Floor!I:I,0)</f>
        <v>0</v>
      </c>
      <c r="F10" s="53">
        <f>-_xlfn.XLOOKUP(C10,L_Roof!A:A,L_Roof!C:C,0)</f>
        <v>24510.720000000005</v>
      </c>
      <c r="G10" s="53">
        <f>-_xlfn.XLOOKUP(C10,'L_Filling material'!A:A,'L_Filling material'!C:C,0)</f>
        <v>0</v>
      </c>
      <c r="H10" s="59">
        <f t="shared" ref="H10:H48" si="1">SUM(B10:G10)</f>
        <v>172657.72000000003</v>
      </c>
      <c r="I10" s="53">
        <f t="shared" ca="1" si="0"/>
        <v>0</v>
      </c>
      <c r="J10" s="53">
        <f t="shared" ref="J10:J48" ca="1" si="2">SUM(D10:G10,I10)</f>
        <v>172614.72000000003</v>
      </c>
    </row>
    <row r="11" spans="1:10" x14ac:dyDescent="0.35">
      <c r="A11" s="53">
        <v>30</v>
      </c>
      <c r="B11" s="53">
        <v>24</v>
      </c>
      <c r="C11" s="53">
        <v>21</v>
      </c>
      <c r="D11" s="53">
        <f>'Pier geometry_2'!G11*'Pier geometry_2'!H11*'Pier geometry_2'!I11*'Material properties'!$E$19</f>
        <v>76744.799999999988</v>
      </c>
      <c r="E11" s="53">
        <f>-_xlfn.XLOOKUP(C11,L_Floor!A:A,L_Floor!I:I,0)</f>
        <v>0</v>
      </c>
      <c r="F11" s="53">
        <f>-_xlfn.XLOOKUP(C11,L_Roof!A:A,L_Roof!C:C,0)</f>
        <v>7013.76</v>
      </c>
      <c r="G11" s="53">
        <f>-_xlfn.XLOOKUP(C11,'L_Filling material'!A:A,'L_Filling material'!C:C,0)</f>
        <v>0</v>
      </c>
      <c r="H11" s="59">
        <f t="shared" si="1"/>
        <v>83803.559999999983</v>
      </c>
      <c r="I11" s="53">
        <f t="shared" ca="1" si="0"/>
        <v>0</v>
      </c>
      <c r="J11" s="53">
        <f t="shared" ca="1" si="2"/>
        <v>83758.559999999983</v>
      </c>
    </row>
    <row r="12" spans="1:10" x14ac:dyDescent="0.35">
      <c r="A12" s="53">
        <v>34</v>
      </c>
      <c r="B12" s="53">
        <v>25</v>
      </c>
      <c r="C12" s="53">
        <v>22</v>
      </c>
      <c r="D12" s="53">
        <f>'Pier geometry_2'!G12*'Pier geometry_2'!H12*'Pier geometry_2'!I12*'Material properties'!$E$19</f>
        <v>77565.599999999991</v>
      </c>
      <c r="E12" s="53">
        <f>-_xlfn.XLOOKUP(C12,L_Floor!A:A,L_Floor!I:I,0)</f>
        <v>19998.874350000006</v>
      </c>
      <c r="F12" s="53">
        <f>-_xlfn.XLOOKUP(C12,L_Roof!A:A,L_Roof!C:C,0)</f>
        <v>0</v>
      </c>
      <c r="G12" s="53">
        <f>-_xlfn.XLOOKUP(C12,'L_Filling material'!A:A,'L_Filling material'!C:C,0)</f>
        <v>27963.912027339931</v>
      </c>
      <c r="H12" s="59">
        <f t="shared" si="1"/>
        <v>125575.38637733994</v>
      </c>
      <c r="I12" s="53">
        <f t="shared" ca="1" si="0"/>
        <v>91087.87999999999</v>
      </c>
      <c r="J12" s="53">
        <f t="shared" ca="1" si="2"/>
        <v>216616.26637733993</v>
      </c>
    </row>
    <row r="13" spans="1:10" x14ac:dyDescent="0.35">
      <c r="A13" s="53">
        <v>35</v>
      </c>
      <c r="B13" s="53">
        <v>26</v>
      </c>
      <c r="C13" s="53">
        <v>23</v>
      </c>
      <c r="D13" s="53">
        <f>'Pier geometry_2'!G13*'Pier geometry_2'!H13*'Pier geometry_2'!I13*'Material properties'!$E$19</f>
        <v>146285.99999999997</v>
      </c>
      <c r="E13" s="53">
        <f>-_xlfn.XLOOKUP(C13,L_Floor!A:A,L_Floor!I:I,0)</f>
        <v>19998.874350000006</v>
      </c>
      <c r="F13" s="53">
        <f>-_xlfn.XLOOKUP(C13,L_Roof!A:A,L_Roof!C:C,0)</f>
        <v>0</v>
      </c>
      <c r="G13" s="53">
        <f>-_xlfn.XLOOKUP(C13,'L_Filling material'!A:A,'L_Filling material'!C:C,0)</f>
        <v>27963.912027339931</v>
      </c>
      <c r="H13" s="59">
        <f t="shared" si="1"/>
        <v>194297.78637733991</v>
      </c>
      <c r="I13" s="53">
        <f t="shared" ca="1" si="0"/>
        <v>172657.72000000003</v>
      </c>
      <c r="J13" s="53">
        <f t="shared" ca="1" si="2"/>
        <v>366906.50637733995</v>
      </c>
    </row>
    <row r="14" spans="1:10" x14ac:dyDescent="0.35">
      <c r="A14" s="53">
        <v>36</v>
      </c>
      <c r="B14" s="53">
        <v>27</v>
      </c>
      <c r="C14" s="53">
        <v>24</v>
      </c>
      <c r="D14" s="53">
        <f>'Pier geometry_2'!G14*'Pier geometry_2'!H14*'Pier geometry_2'!I14*'Material properties'!$E$19</f>
        <v>77565.599999999991</v>
      </c>
      <c r="E14" s="53">
        <f>-_xlfn.XLOOKUP(C14,L_Floor!A:A,L_Floor!I:I,0)</f>
        <v>0</v>
      </c>
      <c r="F14" s="53">
        <f>-_xlfn.XLOOKUP(C14,L_Roof!A:A,L_Roof!C:C,0)</f>
        <v>0</v>
      </c>
      <c r="G14" s="53">
        <f>-_xlfn.XLOOKUP(C14,'L_Filling material'!A:A,'L_Filling material'!C:C,0)</f>
        <v>0</v>
      </c>
      <c r="H14" s="59">
        <f t="shared" si="1"/>
        <v>77616.599999999991</v>
      </c>
      <c r="I14" s="53">
        <f t="shared" ca="1" si="0"/>
        <v>83803.559999999983</v>
      </c>
      <c r="J14" s="53">
        <f t="shared" ca="1" si="2"/>
        <v>161369.15999999997</v>
      </c>
    </row>
    <row r="15" spans="1:10" x14ac:dyDescent="0.35">
      <c r="A15" s="10"/>
      <c r="B15" s="10"/>
      <c r="C15" s="10"/>
      <c r="D15" s="10"/>
      <c r="E15" s="10"/>
      <c r="F15" s="10"/>
      <c r="G15" s="10"/>
      <c r="H15" s="58"/>
      <c r="I15" s="10"/>
      <c r="J15" s="10"/>
    </row>
    <row r="16" spans="1:10" x14ac:dyDescent="0.35">
      <c r="A16" s="48" t="s">
        <v>39</v>
      </c>
      <c r="B16" s="10"/>
      <c r="C16" s="10"/>
      <c r="D16" s="10"/>
      <c r="E16" s="10"/>
      <c r="F16" s="10"/>
      <c r="G16" s="10"/>
      <c r="H16" s="58"/>
      <c r="I16" s="10"/>
      <c r="J16" s="10"/>
    </row>
    <row r="17" spans="1:10" x14ac:dyDescent="0.35">
      <c r="A17" s="53">
        <v>62</v>
      </c>
      <c r="B17" s="53">
        <v>84</v>
      </c>
      <c r="C17" s="53">
        <v>81</v>
      </c>
      <c r="D17" s="53">
        <f>'Pier geometry_2'!G17*'Pier geometry_2'!H17*'Pier geometry_2'!I17*'Material properties'!$E$19</f>
        <v>76744.799999999988</v>
      </c>
      <c r="E17" s="53">
        <f>-_xlfn.XLOOKUP(C17,L_Floor!A:A,L_Floor!I:I,0)</f>
        <v>0</v>
      </c>
      <c r="F17" s="53">
        <f>-_xlfn.XLOOKUP(C17,L_Roof!A:A,L_Roof!C:C,0)</f>
        <v>10597.884052863434</v>
      </c>
      <c r="G17" s="53">
        <f>-_xlfn.XLOOKUP(C17,'L_Filling material'!A:A,'L_Filling material'!C:C,0)</f>
        <v>0</v>
      </c>
      <c r="H17" s="59">
        <f t="shared" si="1"/>
        <v>87507.68405286342</v>
      </c>
      <c r="I17" s="53">
        <f t="shared" ref="I17:I22" ca="1" si="3">_xlfn.XLOOKUP(C17,B:B,H:H,0)</f>
        <v>0</v>
      </c>
      <c r="J17" s="53">
        <f t="shared" ca="1" si="2"/>
        <v>87342.68405286342</v>
      </c>
    </row>
    <row r="18" spans="1:10" x14ac:dyDescent="0.35">
      <c r="A18" s="53">
        <v>63</v>
      </c>
      <c r="B18" s="53">
        <v>41</v>
      </c>
      <c r="C18" s="53">
        <v>40</v>
      </c>
      <c r="D18" s="53">
        <f>'Pier geometry_2'!G18*'Pier geometry_2'!H18*'Pier geometry_2'!I18*'Material properties'!$E$19</f>
        <v>148104.00000000003</v>
      </c>
      <c r="E18" s="53">
        <f>-_xlfn.XLOOKUP(C18,L_Floor!A:A,L_Floor!I:I,0)</f>
        <v>0</v>
      </c>
      <c r="F18" s="53">
        <f>-_xlfn.XLOOKUP(C18,L_Roof!A:A,L_Roof!C:C,0)</f>
        <v>42806.399999999994</v>
      </c>
      <c r="G18" s="53">
        <f>-_xlfn.XLOOKUP(C18,'L_Filling material'!A:A,'L_Filling material'!C:C,0)</f>
        <v>0</v>
      </c>
      <c r="H18" s="59">
        <f t="shared" si="1"/>
        <v>190991.40000000002</v>
      </c>
      <c r="I18" s="53">
        <f t="shared" ca="1" si="3"/>
        <v>0</v>
      </c>
      <c r="J18" s="53">
        <f t="shared" ca="1" si="2"/>
        <v>190910.40000000002</v>
      </c>
    </row>
    <row r="19" spans="1:10" x14ac:dyDescent="0.35">
      <c r="A19" s="53">
        <v>64</v>
      </c>
      <c r="B19" s="53">
        <v>62</v>
      </c>
      <c r="C19" s="53">
        <v>58</v>
      </c>
      <c r="D19" s="53">
        <f>'Pier geometry_2'!G19*'Pier geometry_2'!H19*'Pier geometry_2'!I19*'Material properties'!$E$19</f>
        <v>76744.799999999988</v>
      </c>
      <c r="E19" s="53">
        <f>-_xlfn.XLOOKUP(C19,L_Floor!A:A,L_Floor!I:I,0)</f>
        <v>0</v>
      </c>
      <c r="F19" s="53">
        <f>-_xlfn.XLOOKUP(C19,L_Roof!A:A,L_Roof!C:C,0)</f>
        <v>10805.315947136565</v>
      </c>
      <c r="G19" s="53">
        <f>-_xlfn.XLOOKUP(C19,'L_Filling material'!A:A,'L_Filling material'!C:C,0)</f>
        <v>0</v>
      </c>
      <c r="H19" s="59">
        <f t="shared" si="1"/>
        <v>87670.115947136554</v>
      </c>
      <c r="I19" s="53">
        <f t="shared" ca="1" si="3"/>
        <v>0</v>
      </c>
      <c r="J19" s="53">
        <f t="shared" ca="1" si="2"/>
        <v>87550.115947136554</v>
      </c>
    </row>
    <row r="20" spans="1:10" x14ac:dyDescent="0.35">
      <c r="A20" s="53">
        <v>67</v>
      </c>
      <c r="B20" s="53">
        <v>87</v>
      </c>
      <c r="C20" s="53">
        <v>84</v>
      </c>
      <c r="D20" s="53">
        <f>'Pier geometry_2'!G20*'Pier geometry_2'!H20*'Pier geometry_2'!I20*'Material properties'!$E$19</f>
        <v>77565.599999999991</v>
      </c>
      <c r="E20" s="53">
        <f>-_xlfn.XLOOKUP(C20,L_Floor!A:A,L_Floor!I:I,0)</f>
        <v>0</v>
      </c>
      <c r="F20" s="53">
        <f>-_xlfn.XLOOKUP(C20,L_Roof!A:A,L_Roof!C:C,0)</f>
        <v>0</v>
      </c>
      <c r="G20" s="53">
        <f>-_xlfn.XLOOKUP(C20,'L_Filling material'!A:A,'L_Filling material'!C:C,0)</f>
        <v>0</v>
      </c>
      <c r="H20" s="59">
        <f t="shared" si="1"/>
        <v>77736.599999999991</v>
      </c>
      <c r="I20" s="53">
        <f t="shared" ca="1" si="3"/>
        <v>87507.68405286342</v>
      </c>
      <c r="J20" s="53">
        <f t="shared" ca="1" si="2"/>
        <v>165073.28405286343</v>
      </c>
    </row>
    <row r="21" spans="1:10" x14ac:dyDescent="0.35">
      <c r="A21" s="53">
        <v>68</v>
      </c>
      <c r="B21" s="53">
        <v>42</v>
      </c>
      <c r="C21" s="53">
        <v>41</v>
      </c>
      <c r="D21" s="53">
        <f>'Pier geometry_2'!G21*'Pier geometry_2'!H21*'Pier geometry_2'!I21*'Material properties'!$E$19</f>
        <v>149688</v>
      </c>
      <c r="E21" s="53">
        <f>-_xlfn.XLOOKUP(C21,L_Floor!A:A,L_Floor!I:I,0)</f>
        <v>27141.329475000002</v>
      </c>
      <c r="F21" s="53">
        <f>-_xlfn.XLOOKUP(C21,L_Roof!A:A,L_Roof!C:C,0)</f>
        <v>0</v>
      </c>
      <c r="G21" s="53">
        <f>-_xlfn.XLOOKUP(C21,'L_Filling material'!A:A,'L_Filling material'!C:C,0)</f>
        <v>38224.558277990611</v>
      </c>
      <c r="H21" s="59">
        <f t="shared" si="1"/>
        <v>215136.88775299062</v>
      </c>
      <c r="I21" s="53">
        <f t="shared" ca="1" si="3"/>
        <v>190991.40000000002</v>
      </c>
      <c r="J21" s="53">
        <f t="shared" ca="1" si="2"/>
        <v>406045.28775299061</v>
      </c>
    </row>
    <row r="22" spans="1:10" x14ac:dyDescent="0.35">
      <c r="A22" s="53">
        <v>69</v>
      </c>
      <c r="B22" s="53">
        <v>66</v>
      </c>
      <c r="C22" s="53">
        <v>62</v>
      </c>
      <c r="D22" s="53">
        <f>'Pier geometry_2'!G22*'Pier geometry_2'!H22*'Pier geometry_2'!I22*'Material properties'!$E$19</f>
        <v>77565.599999999991</v>
      </c>
      <c r="E22" s="53">
        <f>-_xlfn.XLOOKUP(C22,L_Floor!A:A,L_Floor!I:I,0)</f>
        <v>27141.329475000002</v>
      </c>
      <c r="F22" s="53">
        <f>-_xlfn.XLOOKUP(C22,L_Roof!A:A,L_Roof!C:C,0)</f>
        <v>0</v>
      </c>
      <c r="G22" s="53">
        <f>-_xlfn.XLOOKUP(C22,'L_Filling material'!A:A,'L_Filling material'!C:C,0)</f>
        <v>38224.558277990611</v>
      </c>
      <c r="H22" s="59">
        <f t="shared" si="1"/>
        <v>143059.48775299062</v>
      </c>
      <c r="I22" s="53">
        <f t="shared" ca="1" si="3"/>
        <v>87670.115947136554</v>
      </c>
      <c r="J22" s="53">
        <f t="shared" ca="1" si="2"/>
        <v>230601.60370012716</v>
      </c>
    </row>
    <row r="23" spans="1:10" x14ac:dyDescent="0.35">
      <c r="A23" s="10"/>
      <c r="B23" s="10"/>
      <c r="C23" s="10"/>
      <c r="D23" s="10"/>
      <c r="E23" s="10"/>
      <c r="F23" s="10"/>
      <c r="G23" s="10"/>
      <c r="H23" s="58"/>
      <c r="I23" s="10"/>
      <c r="J23" s="10"/>
    </row>
    <row r="24" spans="1:10" x14ac:dyDescent="0.35">
      <c r="A24" s="48" t="s">
        <v>41</v>
      </c>
      <c r="B24" s="10"/>
      <c r="C24" s="10"/>
      <c r="D24" s="10"/>
      <c r="E24" s="10"/>
      <c r="F24" s="10"/>
      <c r="G24" s="10"/>
      <c r="H24" s="58"/>
      <c r="I24" s="10"/>
      <c r="J24" s="10"/>
    </row>
    <row r="25" spans="1:10" x14ac:dyDescent="0.35">
      <c r="A25" s="53">
        <v>90</v>
      </c>
      <c r="B25" s="53">
        <v>63</v>
      </c>
      <c r="C25" s="53">
        <v>59</v>
      </c>
      <c r="D25" s="53">
        <f>'Pier geometry_2'!G25*'Pier geometry_2'!H25*'Pier geometry_2'!I25*'Material properties'!$E$19</f>
        <v>14688.000000000002</v>
      </c>
      <c r="E25" s="53">
        <f>-_xlfn.XLOOKUP(C25,L_Floor!A:A,L_Floor!I:I,0)</f>
        <v>3211.95</v>
      </c>
      <c r="F25" s="53">
        <f>-_xlfn.XLOOKUP(C25,L_Roof!A:A,L_Roof!C:C,0)</f>
        <v>0</v>
      </c>
      <c r="G25" s="53">
        <f>-_xlfn.XLOOKUP(C25,'L_Filling material'!A:A,'L_Filling material'!C:C,0)</f>
        <v>0</v>
      </c>
      <c r="H25" s="59">
        <f t="shared" si="1"/>
        <v>18021.95</v>
      </c>
      <c r="I25" s="53">
        <f t="shared" ref="I25:I30" ca="1" si="4">_xlfn.XLOOKUP(C25,B:B,H:H,0)</f>
        <v>0</v>
      </c>
      <c r="J25" s="53">
        <f t="shared" ca="1" si="2"/>
        <v>17899.95</v>
      </c>
    </row>
    <row r="26" spans="1:10" x14ac:dyDescent="0.35">
      <c r="A26" s="53">
        <v>91</v>
      </c>
      <c r="B26" s="53">
        <v>94</v>
      </c>
      <c r="C26" s="53">
        <v>91</v>
      </c>
      <c r="D26" s="53">
        <f>'Pier geometry_2'!G26*'Pier geometry_2'!H26*'Pier geometry_2'!I26*'Material properties'!$E$19</f>
        <v>143452.79999999999</v>
      </c>
      <c r="E26" s="53">
        <f>-_xlfn.XLOOKUP(C26,L_Floor!A:A,L_Floor!I:I,0)</f>
        <v>0</v>
      </c>
      <c r="F26" s="53">
        <f>-_xlfn.XLOOKUP(C26,L_Roof!A:A,L_Roof!C:C,0)</f>
        <v>32255.999999999996</v>
      </c>
      <c r="G26" s="53">
        <f>-_xlfn.XLOOKUP(C26,'L_Filling material'!A:A,'L_Filling material'!C:C,0)</f>
        <v>0</v>
      </c>
      <c r="H26" s="59">
        <f t="shared" si="1"/>
        <v>175893.8</v>
      </c>
      <c r="I26" s="53">
        <f t="shared" ca="1" si="4"/>
        <v>0</v>
      </c>
      <c r="J26" s="53">
        <f t="shared" ca="1" si="2"/>
        <v>175708.79999999999</v>
      </c>
    </row>
    <row r="27" spans="1:10" x14ac:dyDescent="0.35">
      <c r="A27" s="53">
        <v>92</v>
      </c>
      <c r="B27" s="53">
        <v>83</v>
      </c>
      <c r="C27" s="53">
        <v>80</v>
      </c>
      <c r="D27" s="53">
        <f>'Pier geometry_2'!G27*'Pier geometry_2'!H27*'Pier geometry_2'!I27*'Material properties'!$E$19</f>
        <v>54590.400000000001</v>
      </c>
      <c r="E27" s="53">
        <f>-_xlfn.XLOOKUP(C27,L_Floor!A:A,L_Floor!I:I,0)</f>
        <v>0</v>
      </c>
      <c r="F27" s="53">
        <f>-_xlfn.XLOOKUP(C27,L_Roof!A:A,L_Roof!C:C,0)</f>
        <v>0</v>
      </c>
      <c r="G27" s="53">
        <f>-_xlfn.XLOOKUP(C27,'L_Filling material'!A:A,'L_Filling material'!C:C,0)</f>
        <v>0</v>
      </c>
      <c r="H27" s="59">
        <f t="shared" si="1"/>
        <v>54753.4</v>
      </c>
      <c r="I27" s="53">
        <f t="shared" ca="1" si="4"/>
        <v>0</v>
      </c>
      <c r="J27" s="53">
        <f t="shared" ca="1" si="2"/>
        <v>54590.400000000001</v>
      </c>
    </row>
    <row r="28" spans="1:10" x14ac:dyDescent="0.35">
      <c r="A28" s="53">
        <v>95</v>
      </c>
      <c r="B28" s="53">
        <v>67</v>
      </c>
      <c r="C28" s="53">
        <v>63</v>
      </c>
      <c r="D28" s="53">
        <f>'Pier geometry_2'!G28*'Pier geometry_2'!H28*'Pier geometry_2'!I28*'Material properties'!$E$19</f>
        <v>14580.000000000002</v>
      </c>
      <c r="E28" s="53">
        <f>-_xlfn.XLOOKUP(C28,L_Floor!A:A,L_Floor!I:I,0)</f>
        <v>36574.113562762504</v>
      </c>
      <c r="F28" s="53">
        <f>-_xlfn.XLOOKUP(C28,L_Roof!A:A,L_Roof!C:C,0)</f>
        <v>0</v>
      </c>
      <c r="G28" s="53">
        <f>-_xlfn.XLOOKUP(C28,'L_Filling material'!A:A,'L_Filling material'!C:C,0)</f>
        <v>38224.558277990611</v>
      </c>
      <c r="H28" s="59">
        <f t="shared" si="1"/>
        <v>89508.671840753115</v>
      </c>
      <c r="I28" s="53">
        <f t="shared" ca="1" si="4"/>
        <v>18021.95</v>
      </c>
      <c r="J28" s="53">
        <f t="shared" ca="1" si="2"/>
        <v>107400.62184075311</v>
      </c>
    </row>
    <row r="29" spans="1:10" x14ac:dyDescent="0.35">
      <c r="A29" s="53">
        <v>96</v>
      </c>
      <c r="B29" s="53">
        <v>97</v>
      </c>
      <c r="C29" s="53">
        <v>94</v>
      </c>
      <c r="D29" s="53">
        <f>'Pier geometry_2'!G29*'Pier geometry_2'!H29*'Pier geometry_2'!I29*'Material properties'!$E$19</f>
        <v>142398.00000000003</v>
      </c>
      <c r="E29" s="53">
        <f>-_xlfn.XLOOKUP(C29,L_Floor!A:A,L_Floor!I:I,0)</f>
        <v>36574.113562762504</v>
      </c>
      <c r="F29" s="53">
        <f>-_xlfn.XLOOKUP(C29,L_Roof!A:A,L_Roof!C:C,0)</f>
        <v>0</v>
      </c>
      <c r="G29" s="53">
        <f>-_xlfn.XLOOKUP(C29,'L_Filling material'!A:A,'L_Filling material'!C:C,0)</f>
        <v>38224.558277990611</v>
      </c>
      <c r="H29" s="59">
        <f t="shared" si="1"/>
        <v>217387.67184075314</v>
      </c>
      <c r="I29" s="53">
        <f t="shared" ca="1" si="4"/>
        <v>175893.8</v>
      </c>
      <c r="J29" s="53">
        <f t="shared" ca="1" si="2"/>
        <v>393090.4718407531</v>
      </c>
    </row>
    <row r="30" spans="1:10" x14ac:dyDescent="0.35">
      <c r="A30" s="53">
        <v>97</v>
      </c>
      <c r="B30" s="53">
        <v>86</v>
      </c>
      <c r="C30" s="53">
        <v>83</v>
      </c>
      <c r="D30" s="53">
        <f>'Pier geometry_2'!G30*'Pier geometry_2'!H30*'Pier geometry_2'!I30*'Material properties'!$E$19</f>
        <v>54189</v>
      </c>
      <c r="E30" s="53">
        <f>-_xlfn.XLOOKUP(C30,L_Floor!A:A,L_Floor!I:I,0)</f>
        <v>0</v>
      </c>
      <c r="F30" s="53">
        <f>-_xlfn.XLOOKUP(C30,L_Roof!A:A,L_Roof!C:C,0)</f>
        <v>0</v>
      </c>
      <c r="G30" s="53">
        <f>-_xlfn.XLOOKUP(C30,'L_Filling material'!A:A,'L_Filling material'!C:C,0)</f>
        <v>0</v>
      </c>
      <c r="H30" s="59">
        <f t="shared" si="1"/>
        <v>54358</v>
      </c>
      <c r="I30" s="53">
        <f t="shared" ca="1" si="4"/>
        <v>54753.4</v>
      </c>
      <c r="J30" s="53">
        <f t="shared" ca="1" si="2"/>
        <v>108942.39999999999</v>
      </c>
    </row>
    <row r="31" spans="1:10" x14ac:dyDescent="0.35">
      <c r="A31" s="10"/>
      <c r="B31" s="10"/>
      <c r="C31" s="10"/>
      <c r="D31" s="10"/>
      <c r="E31" s="10"/>
      <c r="F31" s="10"/>
      <c r="G31" s="10"/>
      <c r="H31" s="58"/>
      <c r="I31" s="10"/>
      <c r="J31" s="10"/>
    </row>
    <row r="32" spans="1:10" x14ac:dyDescent="0.35">
      <c r="A32" s="48" t="s">
        <v>42</v>
      </c>
      <c r="B32" s="10"/>
      <c r="C32" s="10"/>
      <c r="D32" s="10"/>
      <c r="E32" s="10"/>
      <c r="F32" s="10"/>
      <c r="G32" s="10"/>
      <c r="H32" s="58"/>
      <c r="I32" s="10"/>
      <c r="J32" s="10"/>
    </row>
    <row r="33" spans="1:10" x14ac:dyDescent="0.35">
      <c r="A33" s="53">
        <v>101</v>
      </c>
      <c r="B33" s="53">
        <v>64</v>
      </c>
      <c r="C33" s="53">
        <v>60</v>
      </c>
      <c r="D33" s="53">
        <f>'Pier geometry_2'!G33*'Pier geometry_2'!H33*'Pier geometry_2'!I33*'Material properties'!$E$19</f>
        <v>10526.4</v>
      </c>
      <c r="E33" s="53">
        <f>-_xlfn.XLOOKUP(C33,L_Floor!A:A,L_Floor!I:I,0)</f>
        <v>0</v>
      </c>
      <c r="F33" s="53">
        <f>-_xlfn.XLOOKUP(C33,L_Roof!A:A,L_Roof!C:C,0)</f>
        <v>0</v>
      </c>
      <c r="G33" s="53">
        <f>-_xlfn.XLOOKUP(C33,'L_Filling material'!A:A,'L_Filling material'!C:C,0)</f>
        <v>0</v>
      </c>
      <c r="H33" s="59">
        <f t="shared" si="1"/>
        <v>10650.4</v>
      </c>
      <c r="I33" s="53">
        <f t="shared" ref="I33:I40" ca="1" si="5">_xlfn.XLOOKUP(C33,B:B,H:H,0)</f>
        <v>0</v>
      </c>
      <c r="J33" s="53">
        <f t="shared" ca="1" si="2"/>
        <v>10526.4</v>
      </c>
    </row>
    <row r="34" spans="1:10" x14ac:dyDescent="0.35">
      <c r="A34" s="53">
        <v>102</v>
      </c>
      <c r="B34" s="53">
        <v>53</v>
      </c>
      <c r="C34" s="53">
        <v>52</v>
      </c>
      <c r="D34" s="53">
        <f>'Pier geometry_2'!G34*'Pier geometry_2'!H34*'Pier geometry_2'!I34*'Material properties'!$E$19</f>
        <v>28152</v>
      </c>
      <c r="E34" s="53">
        <f>-_xlfn.XLOOKUP(C34,L_Floor!A:A,L_Floor!I:I,0)</f>
        <v>0</v>
      </c>
      <c r="F34" s="53">
        <f>-_xlfn.XLOOKUP(C34,L_Roof!A:A,L_Roof!C:C,0)</f>
        <v>0</v>
      </c>
      <c r="G34" s="53">
        <f>-_xlfn.XLOOKUP(C34,'L_Filling material'!A:A,'L_Filling material'!C:C,0)</f>
        <v>0</v>
      </c>
      <c r="H34" s="59">
        <f t="shared" si="1"/>
        <v>28257</v>
      </c>
      <c r="I34" s="53">
        <f t="shared" ca="1" si="5"/>
        <v>0</v>
      </c>
      <c r="J34" s="53">
        <f t="shared" ca="1" si="2"/>
        <v>28152</v>
      </c>
    </row>
    <row r="35" spans="1:10" x14ac:dyDescent="0.35">
      <c r="A35" s="53">
        <v>103</v>
      </c>
      <c r="B35" s="53">
        <v>96</v>
      </c>
      <c r="C35" s="53">
        <v>93</v>
      </c>
      <c r="D35" s="53">
        <f>'Pier geometry_2'!G35*'Pier geometry_2'!H35*'Pier geometry_2'!I35*'Material properties'!$E$19</f>
        <v>95472</v>
      </c>
      <c r="E35" s="53">
        <f>-_xlfn.XLOOKUP(C35,L_Floor!A:A,L_Floor!I:I,0)</f>
        <v>0</v>
      </c>
      <c r="F35" s="53">
        <f>-_xlfn.XLOOKUP(C35,L_Roof!A:A,L_Roof!C:C,0)</f>
        <v>32255.999999999996</v>
      </c>
      <c r="G35" s="53">
        <f>-_xlfn.XLOOKUP(C35,'L_Filling material'!A:A,'L_Filling material'!C:C,0)</f>
        <v>0</v>
      </c>
      <c r="H35" s="59">
        <f t="shared" si="1"/>
        <v>127917</v>
      </c>
      <c r="I35" s="53">
        <f t="shared" ca="1" si="5"/>
        <v>0</v>
      </c>
      <c r="J35" s="53">
        <f t="shared" ca="1" si="2"/>
        <v>127728</v>
      </c>
    </row>
    <row r="36" spans="1:10" x14ac:dyDescent="0.35">
      <c r="A36" s="53">
        <v>104</v>
      </c>
      <c r="B36" s="53">
        <v>82</v>
      </c>
      <c r="C36" s="53">
        <v>79</v>
      </c>
      <c r="D36" s="53">
        <f>'Pier geometry_2'!G36*'Pier geometry_2'!H36*'Pier geometry_2'!I36*'Material properties'!$E$19</f>
        <v>54590.400000000001</v>
      </c>
      <c r="E36" s="53">
        <f>-_xlfn.XLOOKUP(C36,L_Floor!A:A,L_Floor!I:I,0)</f>
        <v>0</v>
      </c>
      <c r="F36" s="53">
        <f>-_xlfn.XLOOKUP(C36,L_Roof!A:A,L_Roof!C:C,0)</f>
        <v>0</v>
      </c>
      <c r="G36" s="53">
        <f>-_xlfn.XLOOKUP(C36,'L_Filling material'!A:A,'L_Filling material'!C:C,0)</f>
        <v>0</v>
      </c>
      <c r="H36" s="59">
        <f t="shared" si="1"/>
        <v>54751.4</v>
      </c>
      <c r="I36" s="53">
        <f t="shared" ca="1" si="5"/>
        <v>0</v>
      </c>
      <c r="J36" s="53">
        <f t="shared" ca="1" si="2"/>
        <v>54590.400000000001</v>
      </c>
    </row>
    <row r="37" spans="1:10" x14ac:dyDescent="0.35">
      <c r="A37" s="53">
        <v>108</v>
      </c>
      <c r="B37" s="53">
        <v>68</v>
      </c>
      <c r="C37" s="53">
        <v>64</v>
      </c>
      <c r="D37" s="53">
        <f>'Pier geometry_2'!G37*'Pier geometry_2'!H37*'Pier geometry_2'!I37*'Material properties'!$E$19</f>
        <v>10449</v>
      </c>
      <c r="E37" s="53">
        <f>-_xlfn.XLOOKUP(C37,L_Floor!A:A,L_Floor!I:I,0)</f>
        <v>2146.1685787575002</v>
      </c>
      <c r="F37" s="53">
        <f>-_xlfn.XLOOKUP(C37,L_Roof!A:A,L_Roof!C:C,0)</f>
        <v>0</v>
      </c>
      <c r="G37" s="53">
        <f>-_xlfn.XLOOKUP(C37,'L_Filling material'!A:A,'L_Filling material'!C:C,0)</f>
        <v>0</v>
      </c>
      <c r="H37" s="59">
        <f t="shared" si="1"/>
        <v>12727.168578757501</v>
      </c>
      <c r="I37" s="53">
        <f t="shared" ca="1" si="5"/>
        <v>10650.4</v>
      </c>
      <c r="J37" s="53">
        <f t="shared" ca="1" si="2"/>
        <v>23245.568578757498</v>
      </c>
    </row>
    <row r="38" spans="1:10" x14ac:dyDescent="0.35">
      <c r="A38" s="53">
        <v>109</v>
      </c>
      <c r="B38" s="53">
        <v>54</v>
      </c>
      <c r="C38" s="53">
        <v>53</v>
      </c>
      <c r="D38" s="53">
        <f>'Pier geometry_2'!G38*'Pier geometry_2'!H38*'Pier geometry_2'!I38*'Material properties'!$E$19</f>
        <v>27945</v>
      </c>
      <c r="E38" s="53">
        <f>-_xlfn.XLOOKUP(C38,L_Floor!A:A,L_Floor!I:I,0)</f>
        <v>32303.584701562504</v>
      </c>
      <c r="F38" s="53">
        <f>-_xlfn.XLOOKUP(C38,L_Roof!A:A,L_Roof!C:C,0)</f>
        <v>0</v>
      </c>
      <c r="G38" s="53">
        <f>-_xlfn.XLOOKUP(C38,'L_Filling material'!A:A,'L_Filling material'!C:C,0)</f>
        <v>31831.067781655045</v>
      </c>
      <c r="H38" s="59">
        <f t="shared" si="1"/>
        <v>92186.652483217549</v>
      </c>
      <c r="I38" s="53">
        <f t="shared" ca="1" si="5"/>
        <v>28257</v>
      </c>
      <c r="J38" s="53">
        <f t="shared" ca="1" si="2"/>
        <v>120336.65248321755</v>
      </c>
    </row>
    <row r="39" spans="1:10" x14ac:dyDescent="0.35">
      <c r="A39" s="53">
        <v>110</v>
      </c>
      <c r="B39" s="53">
        <v>99</v>
      </c>
      <c r="C39" s="53">
        <v>96</v>
      </c>
      <c r="D39" s="53">
        <f>'Pier geometry_2'!G39*'Pier geometry_2'!H39*'Pier geometry_2'!I39*'Material properties'!$E$19</f>
        <v>94770.000000000015</v>
      </c>
      <c r="E39" s="53">
        <f>-_xlfn.XLOOKUP(C39,L_Floor!A:A,L_Floor!I:I,0)</f>
        <v>29613.717787500005</v>
      </c>
      <c r="F39" s="53">
        <f>-_xlfn.XLOOKUP(C39,L_Roof!A:A,L_Roof!C:C,0)</f>
        <v>0</v>
      </c>
      <c r="G39" s="53">
        <f>-_xlfn.XLOOKUP(C39,'L_Filling material'!A:A,'L_Filling material'!C:C,0)</f>
        <v>31831.067781655045</v>
      </c>
      <c r="H39" s="59">
        <f t="shared" si="1"/>
        <v>156409.78556915506</v>
      </c>
      <c r="I39" s="53">
        <f t="shared" ca="1" si="5"/>
        <v>127917</v>
      </c>
      <c r="J39" s="53">
        <f t="shared" ca="1" si="2"/>
        <v>284131.78556915506</v>
      </c>
    </row>
    <row r="40" spans="1:10" x14ac:dyDescent="0.35">
      <c r="A40" s="53">
        <v>111</v>
      </c>
      <c r="B40" s="53">
        <v>85</v>
      </c>
      <c r="C40" s="53">
        <v>82</v>
      </c>
      <c r="D40" s="53">
        <f>'Pier geometry_2'!G40*'Pier geometry_2'!H40*'Pier geometry_2'!I40*'Material properties'!$E$19</f>
        <v>54189</v>
      </c>
      <c r="E40" s="53">
        <f>-_xlfn.XLOOKUP(C40,L_Floor!A:A,L_Floor!I:I,0)</f>
        <v>0</v>
      </c>
      <c r="F40" s="53">
        <f>-_xlfn.XLOOKUP(C40,L_Roof!A:A,L_Roof!C:C,0)</f>
        <v>0</v>
      </c>
      <c r="G40" s="53">
        <f>-_xlfn.XLOOKUP(C40,'L_Filling material'!A:A,'L_Filling material'!C:C,0)</f>
        <v>0</v>
      </c>
      <c r="H40" s="59">
        <f t="shared" si="1"/>
        <v>54356</v>
      </c>
      <c r="I40" s="53">
        <f t="shared" ca="1" si="5"/>
        <v>54751.4</v>
      </c>
      <c r="J40" s="53">
        <f t="shared" ca="1" si="2"/>
        <v>108940.4</v>
      </c>
    </row>
    <row r="41" spans="1:10" x14ac:dyDescent="0.35">
      <c r="A41" s="10"/>
      <c r="B41" s="10"/>
      <c r="C41" s="10"/>
      <c r="D41" s="10"/>
      <c r="E41" s="10"/>
      <c r="F41" s="10"/>
      <c r="G41" s="10"/>
      <c r="H41" s="58"/>
      <c r="I41" s="10"/>
      <c r="J41" s="10"/>
    </row>
    <row r="42" spans="1:10" x14ac:dyDescent="0.35">
      <c r="A42" s="48" t="s">
        <v>44</v>
      </c>
      <c r="B42" s="10"/>
      <c r="C42" s="10"/>
      <c r="D42" s="10"/>
      <c r="E42" s="10"/>
      <c r="F42" s="10"/>
      <c r="G42" s="10"/>
      <c r="H42" s="58"/>
      <c r="I42" s="10"/>
      <c r="J42" s="10"/>
    </row>
    <row r="43" spans="1:10" x14ac:dyDescent="0.35">
      <c r="A43" s="53">
        <v>118</v>
      </c>
      <c r="B43" s="53">
        <v>56</v>
      </c>
      <c r="C43" s="53">
        <v>55</v>
      </c>
      <c r="D43" s="53">
        <f>'Pier geometry_2'!G43*'Pier geometry_2'!H43*'Pier geometry_2'!I43*'Material properties'!$E$19</f>
        <v>77112</v>
      </c>
      <c r="E43" s="53">
        <f>-_xlfn.XLOOKUP(C43,L_Floor!A:A,L_Floor!I:I,0)</f>
        <v>22993.211306250003</v>
      </c>
      <c r="F43" s="53">
        <f>-_xlfn.XLOOKUP(C43,L_Roof!A:A,L_Roof!C:C,0)</f>
        <v>0</v>
      </c>
      <c r="G43" s="53">
        <f>-_xlfn.XLOOKUP(C43,'L_Filling material'!A:A,'L_Filling material'!C:C,0)</f>
        <v>0</v>
      </c>
      <c r="H43" s="59">
        <f t="shared" si="1"/>
        <v>100216.21130625</v>
      </c>
      <c r="I43" s="53">
        <f ca="1">_xlfn.XLOOKUP(C43,B:B,H:H,0)</f>
        <v>0</v>
      </c>
      <c r="J43" s="53">
        <f t="shared" ca="1" si="2"/>
        <v>100105.21130625</v>
      </c>
    </row>
    <row r="44" spans="1:10" x14ac:dyDescent="0.35">
      <c r="A44" s="53">
        <v>119</v>
      </c>
      <c r="B44" s="53">
        <v>57</v>
      </c>
      <c r="C44" s="53">
        <v>56</v>
      </c>
      <c r="D44" s="53">
        <f>'Pier geometry_2'!G44*'Pier geometry_2'!H44*'Pier geometry_2'!I44*'Material properties'!$E$19</f>
        <v>61236.000000000007</v>
      </c>
      <c r="E44" s="53">
        <f>-_xlfn.XLOOKUP(C44,L_Floor!A:A,L_Floor!I:I,0)</f>
        <v>18733.491360472501</v>
      </c>
      <c r="F44" s="53">
        <f>-_xlfn.XLOOKUP(C44,L_Roof!A:A,L_Roof!C:C,0)</f>
        <v>0</v>
      </c>
      <c r="G44" s="53">
        <f>-_xlfn.XLOOKUP(C44,'L_Filling material'!A:A,'L_Filling material'!C:C,0)</f>
        <v>16526.131173833001</v>
      </c>
      <c r="H44" s="59">
        <f t="shared" si="1"/>
        <v>96608.622534305512</v>
      </c>
      <c r="I44" s="53">
        <f ca="1">_xlfn.XLOOKUP(C44,B:B,H:H,0)</f>
        <v>100216.21130625</v>
      </c>
      <c r="J44" s="53">
        <f t="shared" ca="1" si="2"/>
        <v>196711.83384055551</v>
      </c>
    </row>
    <row r="45" spans="1:10" x14ac:dyDescent="0.35">
      <c r="A45" s="10"/>
      <c r="B45" s="10"/>
      <c r="C45" s="10"/>
      <c r="D45" s="10"/>
      <c r="E45" s="10"/>
      <c r="F45" s="10"/>
      <c r="G45" s="10"/>
      <c r="H45" s="58"/>
      <c r="I45" s="10"/>
      <c r="J45" s="10"/>
    </row>
    <row r="46" spans="1:10" x14ac:dyDescent="0.35">
      <c r="A46" s="48" t="s">
        <v>45</v>
      </c>
      <c r="B46" s="10"/>
      <c r="C46" s="10"/>
      <c r="D46" s="10"/>
      <c r="E46" s="10"/>
      <c r="F46" s="10"/>
      <c r="G46" s="10"/>
      <c r="H46" s="58"/>
      <c r="I46" s="10"/>
      <c r="J46" s="10"/>
    </row>
    <row r="47" spans="1:10" x14ac:dyDescent="0.35">
      <c r="A47" s="53">
        <v>120</v>
      </c>
      <c r="B47" s="53">
        <v>95</v>
      </c>
      <c r="C47" s="53">
        <v>92</v>
      </c>
      <c r="D47" s="53">
        <f>'Pier geometry_2'!G47*'Pier geometry_2'!H47*'Pier geometry_2'!I47*'Material properties'!$E$19</f>
        <v>94248.000000000015</v>
      </c>
      <c r="E47" s="53">
        <f>-_xlfn.XLOOKUP(C47,L_Floor!A:A,L_Floor!I:I,0)</f>
        <v>15511.947412500002</v>
      </c>
      <c r="F47" s="53">
        <f>-_xlfn.XLOOKUP(C47,L_Roof!A:A,L_Roof!C:C,0)</f>
        <v>0</v>
      </c>
      <c r="G47" s="53">
        <f>-_xlfn.XLOOKUP(C47,'L_Filling material'!A:A,'L_Filling material'!C:C,0)</f>
        <v>0</v>
      </c>
      <c r="H47" s="59">
        <f t="shared" si="1"/>
        <v>109946.94741250001</v>
      </c>
      <c r="I47" s="53">
        <f ca="1">_xlfn.XLOOKUP(C47,B:B,H:H,0)</f>
        <v>0</v>
      </c>
      <c r="J47" s="53">
        <f t="shared" ca="1" si="2"/>
        <v>109759.94741250001</v>
      </c>
    </row>
    <row r="48" spans="1:10" x14ac:dyDescent="0.35">
      <c r="A48" s="53">
        <v>121</v>
      </c>
      <c r="B48" s="53">
        <v>98</v>
      </c>
      <c r="C48" s="53">
        <v>95</v>
      </c>
      <c r="D48" s="53">
        <f>'Pier geometry_2'!G48*'Pier geometry_2'!H48*'Pier geometry_2'!I48*'Material properties'!$E$19</f>
        <v>112266.00000000001</v>
      </c>
      <c r="E48" s="53">
        <f>-_xlfn.XLOOKUP(C48,L_Floor!A:A,L_Floor!I:I,0)</f>
        <v>25711.120597972502</v>
      </c>
      <c r="F48" s="53">
        <f>-_xlfn.XLOOKUP(C48,L_Roof!A:A,L_Roof!C:C,0)</f>
        <v>0</v>
      </c>
      <c r="G48" s="53">
        <f>-_xlfn.XLOOKUP(C48,'L_Filling material'!A:A,'L_Filling material'!C:C,0)</f>
        <v>0</v>
      </c>
      <c r="H48" s="59">
        <f t="shared" si="1"/>
        <v>138170.12059797251</v>
      </c>
      <c r="I48" s="53">
        <f ca="1">_xlfn.XLOOKUP(C48,B:B,H:H,0)</f>
        <v>109946.94741250001</v>
      </c>
      <c r="J48" s="53">
        <f t="shared" ca="1" si="2"/>
        <v>247924.06801047252</v>
      </c>
    </row>
    <row r="49" spans="1:3" x14ac:dyDescent="0.35">
      <c r="A49" s="10"/>
      <c r="B49" s="10"/>
      <c r="C49" s="10"/>
    </row>
  </sheetData>
  <pageMargins left="0.7" right="0.7" top="0.78740157499999996" bottom="0.78740157499999996" header="0.3" footer="0.3"/>
  <pageSetup paperSize="9" scale="70" orientation="portrait" r:id="rId1"/>
  <headerFooter>
    <oddHeader>&amp;LMaster Thesis 2023/2024&amp;CSt. Lawrence Parish House,
Petrinja, Croatia&amp;R&amp;G</oddHeader>
    <oddFooter>&amp;L&amp;A&amp;CModel: Initial and Retrofitted State&amp;R&amp;P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5935B-5073-4343-8D81-4368FD9EF73B}">
  <sheetPr codeName="Tabelle6">
    <tabColor theme="6"/>
  </sheetPr>
  <dimension ref="A1:AA50"/>
  <sheetViews>
    <sheetView view="pageLayout" zoomScale="85" zoomScaleNormal="100" zoomScalePageLayoutView="85" workbookViewId="0">
      <selection activeCell="N29" sqref="N29:N30"/>
    </sheetView>
  </sheetViews>
  <sheetFormatPr baseColWidth="10" defaultColWidth="8.6640625" defaultRowHeight="14" x14ac:dyDescent="0.3"/>
  <cols>
    <col min="1" max="1" width="8.08203125" style="9" bestFit="1" customWidth="1"/>
    <col min="2" max="3" width="5" style="9" customWidth="1"/>
    <col min="4" max="4" width="4.58203125" style="9" bestFit="1" customWidth="1"/>
    <col min="5" max="5" width="5.6640625" style="9" bestFit="1" customWidth="1"/>
    <col min="6" max="6" width="4.58203125" bestFit="1" customWidth="1"/>
    <col min="7" max="7" width="8.4140625" bestFit="1" customWidth="1"/>
    <col min="8" max="8" width="4.58203125" bestFit="1" customWidth="1"/>
    <col min="9" max="10" width="7.25" bestFit="1" customWidth="1"/>
    <col min="11" max="11" width="8.4140625" bestFit="1" customWidth="1"/>
    <col min="12" max="12" width="4.58203125" bestFit="1" customWidth="1"/>
    <col min="13" max="13" width="7.25" bestFit="1" customWidth="1"/>
    <col min="14" max="14" width="4.5" bestFit="1" customWidth="1"/>
    <col min="15" max="16" width="7.25" bestFit="1" customWidth="1"/>
    <col min="17" max="17" width="7.08203125" bestFit="1" customWidth="1"/>
    <col min="18" max="18" width="7.25" bestFit="1" customWidth="1"/>
    <col min="19" max="19" width="7.08203125" bestFit="1" customWidth="1"/>
    <col min="20" max="20" width="7.5" bestFit="1" customWidth="1"/>
    <col min="21" max="27" width="14.33203125" customWidth="1"/>
    <col min="28" max="28" width="11.75" customWidth="1"/>
  </cols>
  <sheetData>
    <row r="1" spans="1:27" ht="18" x14ac:dyDescent="0.4">
      <c r="A1" s="22" t="s">
        <v>132</v>
      </c>
      <c r="B1" s="22"/>
      <c r="C1" s="22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3"/>
      <c r="T1" s="3"/>
      <c r="U1" s="3"/>
      <c r="V1" s="3"/>
      <c r="W1" s="3"/>
      <c r="X1" s="3"/>
      <c r="Y1" s="3"/>
      <c r="Z1" s="3"/>
      <c r="AA1" s="3"/>
    </row>
    <row r="2" spans="1:27" s="4" customFormat="1" x14ac:dyDescent="0.3"/>
    <row r="3" spans="1:27" s="4" customFormat="1" x14ac:dyDescent="0.3">
      <c r="A3" s="91" t="s">
        <v>166</v>
      </c>
      <c r="B3" s="4" t="s">
        <v>167</v>
      </c>
    </row>
    <row r="4" spans="1:27" s="4" customFormat="1" x14ac:dyDescent="0.3">
      <c r="A4" s="91" t="s">
        <v>2</v>
      </c>
      <c r="B4" s="93">
        <f ca="1">TODAY()</f>
        <v>45308</v>
      </c>
      <c r="C4" s="93"/>
      <c r="D4" s="93"/>
      <c r="G4" s="5"/>
    </row>
    <row r="5" spans="1:27" s="4" customFormat="1" x14ac:dyDescent="0.3">
      <c r="A5" s="91" t="s">
        <v>3</v>
      </c>
      <c r="B5" s="4" t="s">
        <v>128</v>
      </c>
    </row>
    <row r="6" spans="1:27" s="4" customFormat="1" x14ac:dyDescent="0.3"/>
    <row r="7" spans="1:27" ht="28.5" thickBot="1" x14ac:dyDescent="0.35">
      <c r="A7" s="61" t="s">
        <v>147</v>
      </c>
      <c r="B7" s="31" t="s">
        <v>148</v>
      </c>
      <c r="C7" s="31" t="s">
        <v>149</v>
      </c>
      <c r="D7" s="36" t="s">
        <v>87</v>
      </c>
      <c r="E7" s="21"/>
      <c r="F7" s="36"/>
      <c r="G7" s="36"/>
      <c r="H7" s="36"/>
      <c r="I7" s="36"/>
      <c r="J7" s="36" t="s">
        <v>104</v>
      </c>
      <c r="K7" s="36"/>
      <c r="L7" s="36"/>
      <c r="M7" s="36"/>
      <c r="N7" s="36"/>
      <c r="O7" s="36"/>
      <c r="P7" s="36" t="s">
        <v>165</v>
      </c>
      <c r="Q7" s="36" t="s">
        <v>114</v>
      </c>
      <c r="R7" s="36" t="s">
        <v>115</v>
      </c>
    </row>
    <row r="8" spans="1:27" ht="17" x14ac:dyDescent="0.45">
      <c r="A8"/>
      <c r="B8"/>
      <c r="C8"/>
      <c r="D8" s="27" t="s">
        <v>98</v>
      </c>
      <c r="E8" s="34" t="s">
        <v>20</v>
      </c>
      <c r="F8" s="35" t="s">
        <v>99</v>
      </c>
      <c r="G8" s="27" t="s">
        <v>100</v>
      </c>
      <c r="H8" s="35" t="s">
        <v>102</v>
      </c>
      <c r="I8" s="27" t="s">
        <v>103</v>
      </c>
      <c r="J8" s="73" t="s">
        <v>141</v>
      </c>
      <c r="K8" s="38" t="s">
        <v>143</v>
      </c>
      <c r="L8" s="38" t="s">
        <v>145</v>
      </c>
      <c r="M8" s="38" t="s">
        <v>106</v>
      </c>
      <c r="N8" s="35" t="s">
        <v>102</v>
      </c>
      <c r="O8" s="38" t="s">
        <v>105</v>
      </c>
      <c r="P8" s="38" t="s">
        <v>107</v>
      </c>
      <c r="R8" s="38" t="s">
        <v>116</v>
      </c>
    </row>
    <row r="9" spans="1:27" ht="16" x14ac:dyDescent="0.3">
      <c r="A9" s="46" t="s">
        <v>36</v>
      </c>
      <c r="B9"/>
      <c r="C9"/>
      <c r="D9" s="44" t="s">
        <v>84</v>
      </c>
      <c r="E9" s="44" t="s">
        <v>101</v>
      </c>
      <c r="F9" s="44" t="s">
        <v>101</v>
      </c>
      <c r="G9" s="45" t="s">
        <v>89</v>
      </c>
      <c r="H9" s="45" t="s">
        <v>101</v>
      </c>
      <c r="I9" s="45" t="s">
        <v>89</v>
      </c>
      <c r="J9" s="45" t="s">
        <v>142</v>
      </c>
      <c r="K9" s="45" t="s">
        <v>144</v>
      </c>
      <c r="L9" s="45" t="s">
        <v>84</v>
      </c>
      <c r="M9" s="45" t="s">
        <v>89</v>
      </c>
      <c r="N9" s="45" t="s">
        <v>101</v>
      </c>
      <c r="O9" s="45" t="s">
        <v>89</v>
      </c>
      <c r="P9" s="45" t="s">
        <v>89</v>
      </c>
      <c r="Q9" s="44"/>
      <c r="R9" s="45" t="s">
        <v>89</v>
      </c>
    </row>
    <row r="10" spans="1:27" x14ac:dyDescent="0.3">
      <c r="A10" s="65">
        <v>1</v>
      </c>
      <c r="B10" s="65">
        <v>15</v>
      </c>
      <c r="C10" s="65">
        <v>5</v>
      </c>
      <c r="D10" s="57">
        <f>IF(B10="","",MAX(_xlfn.XLOOKUP(C10,'Pier geometry_1'!A:A,'Pier geometry_1'!G:G),_xlfn.XLOOKUP(B10,'Pier geometry_1'!A:A,'Pier geometry_1'!G:G))*1/2)</f>
        <v>1.7</v>
      </c>
      <c r="E10" s="54">
        <f ca="1">IF(D10="","",_xlfn.XLOOKUP(B10,'Normal loads_1'!A:A,'Normal loads_1'!J:J)/'Material properties'!$H$14/_xlfn.XLOOKUP(Max_shearforce_1!B10,'Pier geometry_1'!A:A,'Pier geometry_1'!H:H)/_xlfn.XLOOKUP(B10,'Pier geometry_1'!A:A,'Pier geometry_1'!I:I))</f>
        <v>9.2078318166208803E-2</v>
      </c>
      <c r="F10" s="57">
        <f ca="1">IF(E10="","",0.85)</f>
        <v>0.85</v>
      </c>
      <c r="G10" s="53">
        <f ca="1">IF(F10="","",_xlfn.XLOOKUP(B10,'Pier geometry_1'!A:A,'Pier geometry_1'!H:H)*_xlfn.XLOOKUP(B10,'Normal loads_1'!A:A,'Normal loads_1'!J:J)*(1-(Max_shearforce_1!E10/Max_shearforce_1!F10))/(2*Max_shearforce_1!D10))</f>
        <v>93609.202674759654</v>
      </c>
      <c r="H10" s="57">
        <f ca="1">IF(G10="","",2.15)</f>
        <v>2.15</v>
      </c>
      <c r="I10" s="53">
        <f ca="1">IF(G10="","",G10/H10)</f>
        <v>43539.164034771937</v>
      </c>
      <c r="J10" s="53">
        <f ca="1">IF(D10="","",_xlfn.XLOOKUP(B10,'Normal loads_1'!A:A,'Normal loads_1'!J:J)/_xlfn.XLOOKUP(Max_shearforce_1!B10,'Pier geometry_1'!A:A,'Pier geometry_1'!H:H)/_xlfn.XLOOKUP(B10,'Pier geometry_1'!A:A,'Pier geometry_1'!I:I))</f>
        <v>117860.24725274726</v>
      </c>
      <c r="K10" s="53">
        <f ca="1">IF(J10="","",(J10*_xlfn.XLOOKUP(B10,'Pier geometry_1'!A:A,'Pier geometry_1'!H:H)^2*_xlfn.XLOOKUP(B10,'Pier geometry_1'!A:A,'Pier geometry_1'!I:I)/2)*(1-(J10/(0.85*'Material properties'!$H$14))))</f>
        <v>159135.64454709142</v>
      </c>
      <c r="L10" s="57">
        <f ca="1">IF(K10="","",3*_xlfn.XLOOKUP(B10,'Pier geometry_1'!A:A,'Pier geometry_1'!H:H)*(0.5-(K10/(_xlfn.XLOOKUP(B10,'Normal loads_1'!A:A,'Normal loads_1'!J:J)*_xlfn.XLOOKUP(B10,'Pier geometry_1'!A:A,'Pier geometry_1'!H:H)))))</f>
        <v>0.33798159138655426</v>
      </c>
      <c r="M10" s="53">
        <f ca="1">IF(K10="","",L10*_xlfn.XLOOKUP(B10,'Pier geometry_1'!A:A,'Pier geometry_1'!I:I)*('Material properties'!$G$24+('Material properties'!$H$18*_xlfn.XLOOKUP(B10,'Normal loads_1'!A:A,'Normal loads_1'!J:J)/Max_shearforce_1!L10/_xlfn.XLOOKUP(B10,'Pier geometry_1'!A:A,'Pier geometry_1'!I:I))))</f>
        <v>116558.58481617644</v>
      </c>
      <c r="N10" s="57">
        <f ca="1">IF(M10="","",1.65)</f>
        <v>1.65</v>
      </c>
      <c r="O10" s="53">
        <f ca="1">IF(M10="","",M10/N10)</f>
        <v>70641.566555258454</v>
      </c>
      <c r="P10" s="53">
        <f ca="1">IF(O10="","",MIN(I10,O10))</f>
        <v>43539.164034771937</v>
      </c>
      <c r="Q10" s="65" t="str">
        <f ca="1">IF(P10="","",IF(P10=I10,"Flexure","Shear"))</f>
        <v>Flexure</v>
      </c>
      <c r="R10" s="53">
        <f ca="1">IF(P10="","",P10*0.8)</f>
        <v>34831.331227817551</v>
      </c>
    </row>
    <row r="11" spans="1:27" x14ac:dyDescent="0.3">
      <c r="A11" s="65">
        <v>2</v>
      </c>
      <c r="B11" s="65">
        <v>16</v>
      </c>
      <c r="C11" s="65">
        <v>6</v>
      </c>
      <c r="D11" s="57">
        <f>IF(B11="","",MAX(_xlfn.XLOOKUP(C11,'Pier geometry_1'!A:A,'Pier geometry_1'!G:G),_xlfn.XLOOKUP(B11,'Pier geometry_1'!A:A,'Pier geometry_1'!G:G))*1/2)</f>
        <v>1.7</v>
      </c>
      <c r="E11" s="54">
        <f ca="1">IF(D11="","",_xlfn.XLOOKUP(B11,'Normal loads_1'!A:A,'Normal loads_1'!J:J)/'Material properties'!$H$14/_xlfn.XLOOKUP(Max_shearforce_1!B11,'Pier geometry_1'!A:A,'Pier geometry_1'!H:H)/_xlfn.XLOOKUP(B11,'Pier geometry_1'!A:A,'Pier geometry_1'!I:I))</f>
        <v>0.1044007352303835</v>
      </c>
      <c r="F11" s="57">
        <f t="shared" ref="F11:F32" ca="1" si="0">IF(E11="","",0.85)</f>
        <v>0.85</v>
      </c>
      <c r="G11" s="53">
        <f ca="1">IF(F11="","",_xlfn.XLOOKUP(B11,'Pier geometry_1'!A:A,'Pier geometry_1'!H:H)*_xlfn.XLOOKUP(B11,'Normal loads_1'!A:A,'Normal loads_1'!J:J)*(1-(Max_shearforce_1!E11/Max_shearforce_1!F11))/(2*Max_shearforce_1!D11))</f>
        <v>150833.98754443444</v>
      </c>
      <c r="H11" s="57">
        <f t="shared" ref="H11:H32" ca="1" si="1">IF(G11="","",2.15)</f>
        <v>2.15</v>
      </c>
      <c r="I11" s="53">
        <f t="shared" ref="I11:I32" ca="1" si="2">IF(G11="","",G11/H11)</f>
        <v>70155.343043923</v>
      </c>
      <c r="J11" s="53">
        <f ca="1">IF(D11="","",_xlfn.XLOOKUP(B11,'Normal loads_1'!A:A,'Normal loads_1'!J:J)/_xlfn.XLOOKUP(Max_shearforce_1!B11,'Pier geometry_1'!A:A,'Pier geometry_1'!H:H)/_xlfn.XLOOKUP(B11,'Pier geometry_1'!A:A,'Pier geometry_1'!I:I))</f>
        <v>133632.94109489088</v>
      </c>
      <c r="K11" s="53">
        <f ca="1">IF(J11="","",(J11*_xlfn.XLOOKUP(B11,'Pier geometry_1'!A:A,'Pier geometry_1'!H:H)^2*_xlfn.XLOOKUP(B11,'Pier geometry_1'!A:A,'Pier geometry_1'!I:I)/2)*(1-(J11/(0.85*'Material properties'!$H$14))))</f>
        <v>256417.77882553847</v>
      </c>
      <c r="L11" s="57">
        <f ca="1">IF(K11="","",3*_xlfn.XLOOKUP(B11,'Pier geometry_1'!A:A,'Pier geometry_1'!H:H)*(0.5-(K11/(_xlfn.XLOOKUP(B11,'Normal loads_1'!A:A,'Normal loads_1'!J:J)*_xlfn.XLOOKUP(B11,'Pier geometry_1'!A:A,'Pier geometry_1'!H:H)))))</f>
        <v>0.46059147895757491</v>
      </c>
      <c r="M11" s="53">
        <f ca="1">IF(K11="","",L11*_xlfn.XLOOKUP(B11,'Pier geometry_1'!A:A,'Pier geometry_1'!I:I)*('Material properties'!$G$24+('Material properties'!$H$18*_xlfn.XLOOKUP(B11,'Normal loads_1'!A:A,'Normal loads_1'!J:J)/Max_shearforce_1!L11/_xlfn.XLOOKUP(B11,'Pier geometry_1'!A:A,'Pier geometry_1'!I:I))))</f>
        <v>158842.64804316883</v>
      </c>
      <c r="N11" s="57">
        <f t="shared" ref="N11:N32" ca="1" si="3">IF(M11="","",1.65)</f>
        <v>1.65</v>
      </c>
      <c r="O11" s="53">
        <f t="shared" ref="O11:O32" ca="1" si="4">IF(M11="","",M11/N11)</f>
        <v>96268.271541314447</v>
      </c>
      <c r="P11" s="53">
        <f t="shared" ref="P11:P32" ca="1" si="5">IF(O11="","",MIN(I11,O11))</f>
        <v>70155.343043923</v>
      </c>
      <c r="Q11" s="65" t="str">
        <f t="shared" ref="Q11:Q32" ca="1" si="6">IF(P11="","",IF(P11=I11,"Flexure","Shear"))</f>
        <v>Flexure</v>
      </c>
      <c r="R11" s="53">
        <f t="shared" ref="R11:R32" ca="1" si="7">IF(P11="","",P11*0.8)</f>
        <v>56124.274435138403</v>
      </c>
    </row>
    <row r="12" spans="1:27" x14ac:dyDescent="0.3">
      <c r="A12" s="65">
        <v>3</v>
      </c>
      <c r="B12" s="65">
        <v>17</v>
      </c>
      <c r="C12" s="65">
        <v>7</v>
      </c>
      <c r="D12" s="57">
        <f>IF(B12="","",MAX(_xlfn.XLOOKUP(C12,'Pier geometry_1'!A:A,'Pier geometry_1'!G:G),_xlfn.XLOOKUP(B12,'Pier geometry_1'!A:A,'Pier geometry_1'!G:G))*1/2)</f>
        <v>1.7</v>
      </c>
      <c r="E12" s="54">
        <f ca="1">IF(D12="","",_xlfn.XLOOKUP(B12,'Normal loads_1'!A:A,'Normal loads_1'!J:J)/'Material properties'!$H$14/_xlfn.XLOOKUP(Max_shearforce_1!B12,'Pier geometry_1'!A:A,'Pier geometry_1'!H:H)/_xlfn.XLOOKUP(B12,'Pier geometry_1'!A:A,'Pier geometry_1'!I:I))</f>
        <v>0.24431491061580887</v>
      </c>
      <c r="F12" s="57">
        <f t="shared" ca="1" si="0"/>
        <v>0.85</v>
      </c>
      <c r="G12" s="53">
        <f ca="1">IF(F12="","",_xlfn.XLOOKUP(B12,'Pier geometry_1'!A:A,'Pier geometry_1'!H:H)*_xlfn.XLOOKUP(B12,'Normal loads_1'!A:A,'Normal loads_1'!J:J)*(1-(Max_shearforce_1!E12/Max_shearforce_1!F12))/(2*Max_shearforce_1!D12))</f>
        <v>33147.049258226813</v>
      </c>
      <c r="H12" s="57">
        <f t="shared" ca="1" si="1"/>
        <v>2.15</v>
      </c>
      <c r="I12" s="53">
        <f t="shared" ca="1" si="2"/>
        <v>15417.232213128751</v>
      </c>
      <c r="J12" s="53">
        <f ca="1">IF(D12="","",_xlfn.XLOOKUP(B12,'Normal loads_1'!A:A,'Normal loads_1'!J:J)/_xlfn.XLOOKUP(Max_shearforce_1!B12,'Pier geometry_1'!A:A,'Pier geometry_1'!H:H)/_xlfn.XLOOKUP(B12,'Pier geometry_1'!A:A,'Pier geometry_1'!I:I))</f>
        <v>312723.08558823535</v>
      </c>
      <c r="K12" s="53">
        <f ca="1">IF(J12="","",(J12*_xlfn.XLOOKUP(B12,'Pier geometry_1'!A:A,'Pier geometry_1'!H:H)^2*_xlfn.XLOOKUP(B12,'Pier geometry_1'!A:A,'Pier geometry_1'!I:I)/2)*(1-(J12/(0.85*'Material properties'!$H$14))))</f>
        <v>56349.983738985575</v>
      </c>
      <c r="L12" s="57">
        <f ca="1">IF(K12="","",3*_xlfn.XLOOKUP(B12,'Pier geometry_1'!A:A,'Pier geometry_1'!H:H)*(0.5-(K12/(_xlfn.XLOOKUP(B12,'Normal loads_1'!A:A,'Normal loads_1'!J:J)*_xlfn.XLOOKUP(B12,'Pier geometry_1'!A:A,'Pier geometry_1'!H:H)))))</f>
        <v>0.36647236592371341</v>
      </c>
      <c r="M12" s="53">
        <f ca="1">IF(K12="","",L12*_xlfn.XLOOKUP(B12,'Pier geometry_1'!A:A,'Pier geometry_1'!I:I)*('Material properties'!$G$24+('Material properties'!$H$18*_xlfn.XLOOKUP(B12,'Normal loads_1'!A:A,'Normal loads_1'!J:J)/Max_shearforce_1!L12/_xlfn.XLOOKUP(B12,'Pier geometry_1'!A:A,'Pier geometry_1'!I:I))))</f>
        <v>126384.10326155793</v>
      </c>
      <c r="N12" s="57">
        <f t="shared" ca="1" si="3"/>
        <v>1.65</v>
      </c>
      <c r="O12" s="53">
        <f t="shared" ca="1" si="4"/>
        <v>76596.42621912602</v>
      </c>
      <c r="P12" s="53">
        <f t="shared" ca="1" si="5"/>
        <v>15417.232213128751</v>
      </c>
      <c r="Q12" s="65" t="str">
        <f t="shared" ca="1" si="6"/>
        <v>Flexure</v>
      </c>
      <c r="R12" s="53">
        <f t="shared" ca="1" si="7"/>
        <v>12333.785770503002</v>
      </c>
    </row>
    <row r="13" spans="1:27" x14ac:dyDescent="0.3">
      <c r="A13" s="65">
        <v>4</v>
      </c>
      <c r="B13" s="65">
        <v>18</v>
      </c>
      <c r="C13" s="65">
        <v>7</v>
      </c>
      <c r="D13" s="57">
        <f>IF(B13="","",MAX(_xlfn.XLOOKUP(C13,'Pier geometry_1'!A:A,'Pier geometry_1'!G:G),_xlfn.XLOOKUP(B13,'Pier geometry_1'!A:A,'Pier geometry_1'!G:G))*1/2)</f>
        <v>1.7</v>
      </c>
      <c r="E13" s="54">
        <f ca="1">IF(D13="","",_xlfn.XLOOKUP(B13,'Normal loads_1'!A:A,'Normal loads_1'!J:J)/'Material properties'!$H$14/_xlfn.XLOOKUP(Max_shearforce_1!B13,'Pier geometry_1'!A:A,'Pier geometry_1'!H:H)/_xlfn.XLOOKUP(B13,'Pier geometry_1'!A:A,'Pier geometry_1'!I:I))</f>
        <v>0.24431491061580887</v>
      </c>
      <c r="F13" s="57">
        <f t="shared" ca="1" si="0"/>
        <v>0.85</v>
      </c>
      <c r="G13" s="53">
        <f ca="1">IF(F13="","",_xlfn.XLOOKUP(B13,'Pier geometry_1'!A:A,'Pier geometry_1'!H:H)*_xlfn.XLOOKUP(B13,'Normal loads_1'!A:A,'Normal loads_1'!J:J)*(1-(Max_shearforce_1!E13/Max_shearforce_1!F13))/(2*Max_shearforce_1!D13))</f>
        <v>33147.049258226813</v>
      </c>
      <c r="H13" s="57">
        <f t="shared" ca="1" si="1"/>
        <v>2.15</v>
      </c>
      <c r="I13" s="53">
        <f t="shared" ca="1" si="2"/>
        <v>15417.232213128751</v>
      </c>
      <c r="J13" s="53">
        <f ca="1">IF(D13="","",_xlfn.XLOOKUP(B13,'Normal loads_1'!A:A,'Normal loads_1'!J:J)/_xlfn.XLOOKUP(Max_shearforce_1!B13,'Pier geometry_1'!A:A,'Pier geometry_1'!H:H)/_xlfn.XLOOKUP(B13,'Pier geometry_1'!A:A,'Pier geometry_1'!I:I))</f>
        <v>312723.08558823535</v>
      </c>
      <c r="K13" s="53">
        <f ca="1">IF(J13="","",(J13*_xlfn.XLOOKUP(B13,'Pier geometry_1'!A:A,'Pier geometry_1'!H:H)^2*_xlfn.XLOOKUP(B13,'Pier geometry_1'!A:A,'Pier geometry_1'!I:I)/2)*(1-(J13/(0.85*'Material properties'!$H$14))))</f>
        <v>56349.983738985575</v>
      </c>
      <c r="L13" s="57">
        <f ca="1">IF(K13="","",3*_xlfn.XLOOKUP(B13,'Pier geometry_1'!A:A,'Pier geometry_1'!H:H)*(0.5-(K13/(_xlfn.XLOOKUP(B13,'Normal loads_1'!A:A,'Normal loads_1'!J:J)*_xlfn.XLOOKUP(B13,'Pier geometry_1'!A:A,'Pier geometry_1'!H:H)))))</f>
        <v>0.36647236592371341</v>
      </c>
      <c r="M13" s="53">
        <f ca="1">IF(K13="","",L13*_xlfn.XLOOKUP(B13,'Pier geometry_1'!A:A,'Pier geometry_1'!I:I)*('Material properties'!$G$24+('Material properties'!$H$18*_xlfn.XLOOKUP(B13,'Normal loads_1'!A:A,'Normal loads_1'!J:J)/Max_shearforce_1!L13/_xlfn.XLOOKUP(B13,'Pier geometry_1'!A:A,'Pier geometry_1'!I:I))))</f>
        <v>126384.10326155793</v>
      </c>
      <c r="N13" s="57">
        <f t="shared" ca="1" si="3"/>
        <v>1.65</v>
      </c>
      <c r="O13" s="53">
        <f t="shared" ca="1" si="4"/>
        <v>76596.42621912602</v>
      </c>
      <c r="P13" s="53">
        <f t="shared" ca="1" si="5"/>
        <v>15417.232213128751</v>
      </c>
      <c r="Q13" s="65" t="str">
        <f t="shared" ca="1" si="6"/>
        <v>Flexure</v>
      </c>
      <c r="R13" s="53">
        <f t="shared" ca="1" si="7"/>
        <v>12333.785770503002</v>
      </c>
    </row>
    <row r="14" spans="1:27" x14ac:dyDescent="0.3">
      <c r="A14" s="65">
        <v>5</v>
      </c>
      <c r="B14" s="65">
        <v>19</v>
      </c>
      <c r="C14" s="65">
        <v>9</v>
      </c>
      <c r="D14" s="57">
        <f>IF(B14="","",MAX(_xlfn.XLOOKUP(C14,'Pier geometry_1'!A:A,'Pier geometry_1'!G:G),_xlfn.XLOOKUP(B14,'Pier geometry_1'!A:A,'Pier geometry_1'!G:G))*1/2)</f>
        <v>1.7</v>
      </c>
      <c r="E14" s="54">
        <f ca="1">IF(D14="","",_xlfn.XLOOKUP(B14,'Normal loads_1'!A:A,'Normal loads_1'!J:J)/'Material properties'!$H$14/_xlfn.XLOOKUP(Max_shearforce_1!B14,'Pier geometry_1'!A:A,'Pier geometry_1'!H:H)/_xlfn.XLOOKUP(B14,'Pier geometry_1'!A:A,'Pier geometry_1'!I:I))</f>
        <v>0.10247662102098792</v>
      </c>
      <c r="F14" s="57">
        <f t="shared" ca="1" si="0"/>
        <v>0.85</v>
      </c>
      <c r="G14" s="53">
        <f ca="1">IF(F14="","",_xlfn.XLOOKUP(B14,'Pier geometry_1'!A:A,'Pier geometry_1'!H:H)*_xlfn.XLOOKUP(B14,'Normal loads_1'!A:A,'Normal loads_1'!J:J)*(1-(Max_shearforce_1!E14/Max_shearforce_1!F14))/(2*Max_shearforce_1!D14))</f>
        <v>148436.17718580592</v>
      </c>
      <c r="H14" s="57">
        <f t="shared" ca="1" si="1"/>
        <v>2.15</v>
      </c>
      <c r="I14" s="53">
        <f t="shared" ca="1" si="2"/>
        <v>69040.082412002754</v>
      </c>
      <c r="J14" s="53">
        <f ca="1">IF(D14="","",_xlfn.XLOOKUP(B14,'Normal loads_1'!A:A,'Normal loads_1'!J:J)/_xlfn.XLOOKUP(Max_shearforce_1!B14,'Pier geometry_1'!A:A,'Pier geometry_1'!H:H)/_xlfn.XLOOKUP(B14,'Pier geometry_1'!A:A,'Pier geometry_1'!I:I))</f>
        <v>131170.07490686452</v>
      </c>
      <c r="K14" s="53">
        <f ca="1">IF(J14="","",(J14*_xlfn.XLOOKUP(B14,'Pier geometry_1'!A:A,'Pier geometry_1'!H:H)^2*_xlfn.XLOOKUP(B14,'Pier geometry_1'!A:A,'Pier geometry_1'!I:I)/2)*(1-(J14/(0.85*'Material properties'!$H$14))))</f>
        <v>252341.50121587003</v>
      </c>
      <c r="L14" s="57">
        <f ca="1">IF(K14="","",3*_xlfn.XLOOKUP(B14,'Pier geometry_1'!A:A,'Pier geometry_1'!H:H)*(0.5-(K14/(_xlfn.XLOOKUP(B14,'Normal loads_1'!A:A,'Normal loads_1'!J:J)*_xlfn.XLOOKUP(B14,'Pier geometry_1'!A:A,'Pier geometry_1'!H:H)))))</f>
        <v>0.45210273979847643</v>
      </c>
      <c r="M14" s="53">
        <f ca="1">IF(K14="","",L14*_xlfn.XLOOKUP(B14,'Pier geometry_1'!A:A,'Pier geometry_1'!I:I)*('Material properties'!$G$24+('Material properties'!$H$18*_xlfn.XLOOKUP(B14,'Normal loads_1'!A:A,'Normal loads_1'!J:J)/Max_shearforce_1!L14/_xlfn.XLOOKUP(B14,'Pier geometry_1'!A:A,'Pier geometry_1'!I:I))))</f>
        <v>155915.16486516781</v>
      </c>
      <c r="N14" s="57">
        <f t="shared" ca="1" si="3"/>
        <v>1.65</v>
      </c>
      <c r="O14" s="53">
        <f t="shared" ca="1" si="4"/>
        <v>94494.039312222914</v>
      </c>
      <c r="P14" s="53">
        <f t="shared" ca="1" si="5"/>
        <v>69040.082412002754</v>
      </c>
      <c r="Q14" s="65" t="str">
        <f t="shared" ca="1" si="6"/>
        <v>Flexure</v>
      </c>
      <c r="R14" s="53">
        <f t="shared" ca="1" si="7"/>
        <v>55232.065929602206</v>
      </c>
    </row>
    <row r="15" spans="1:27" x14ac:dyDescent="0.3">
      <c r="A15" s="65">
        <v>6</v>
      </c>
      <c r="B15" s="65">
        <v>20</v>
      </c>
      <c r="C15" s="65">
        <v>10</v>
      </c>
      <c r="D15" s="57">
        <f>IF(B15="","",MAX(_xlfn.XLOOKUP(C15,'Pier geometry_1'!A:A,'Pier geometry_1'!G:G),_xlfn.XLOOKUP(B15,'Pier geometry_1'!A:A,'Pier geometry_1'!G:G))*1/2)</f>
        <v>1.7</v>
      </c>
      <c r="E15" s="54">
        <f ca="1">IF(D15="","",_xlfn.XLOOKUP(B15,'Normal loads_1'!A:A,'Normal loads_1'!J:J)/'Material properties'!$H$14/_xlfn.XLOOKUP(Max_shearforce_1!B15,'Pier geometry_1'!A:A,'Pier geometry_1'!H:H)/_xlfn.XLOOKUP(B15,'Pier geometry_1'!A:A,'Pier geometry_1'!I:I))</f>
        <v>8.8423008150111851E-2</v>
      </c>
      <c r="F15" s="57">
        <f t="shared" ca="1" si="0"/>
        <v>0.85</v>
      </c>
      <c r="G15" s="53">
        <f ca="1">IF(F15="","",_xlfn.XLOOKUP(B15,'Pier geometry_1'!A:A,'Pier geometry_1'!H:H)*_xlfn.XLOOKUP(B15,'Normal loads_1'!A:A,'Normal loads_1'!J:J)*(1-(Max_shearforce_1!E15/Max_shearforce_1!F15))/(2*Max_shearforce_1!D15))</f>
        <v>90326.657026282017</v>
      </c>
      <c r="H15" s="57">
        <f t="shared" ca="1" si="1"/>
        <v>2.15</v>
      </c>
      <c r="I15" s="53">
        <f t="shared" ca="1" si="2"/>
        <v>42012.398616875362</v>
      </c>
      <c r="J15" s="53">
        <f ca="1">IF(D15="","",_xlfn.XLOOKUP(B15,'Normal loads_1'!A:A,'Normal loads_1'!J:J)/_xlfn.XLOOKUP(Max_shearforce_1!B15,'Pier geometry_1'!A:A,'Pier geometry_1'!H:H)/_xlfn.XLOOKUP(B15,'Pier geometry_1'!A:A,'Pier geometry_1'!I:I))</f>
        <v>113181.45043214317</v>
      </c>
      <c r="K15" s="53">
        <f ca="1">IF(J15="","",(J15*_xlfn.XLOOKUP(B15,'Pier geometry_1'!A:A,'Pier geometry_1'!H:H)^2*_xlfn.XLOOKUP(B15,'Pier geometry_1'!A:A,'Pier geometry_1'!I:I)/2)*(1-(J15/(0.85*'Material properties'!$H$14))))</f>
        <v>153555.31694467942</v>
      </c>
      <c r="L15" s="57">
        <f ca="1">IF(K15="","",3*_xlfn.XLOOKUP(B15,'Pier geometry_1'!A:A,'Pier geometry_1'!H:H)*(0.5-(K15/(_xlfn.XLOOKUP(B15,'Normal loads_1'!A:A,'Normal loads_1'!J:J)*_xlfn.XLOOKUP(B15,'Pier geometry_1'!A:A,'Pier geometry_1'!H:H)))))</f>
        <v>0.32456445344511625</v>
      </c>
      <c r="M15" s="53">
        <f ca="1">IF(K15="","",L15*_xlfn.XLOOKUP(B15,'Pier geometry_1'!A:A,'Pier geometry_1'!I:I)*('Material properties'!$G$24+('Material properties'!$H$18*_xlfn.XLOOKUP(B15,'Normal loads_1'!A:A,'Normal loads_1'!J:J)/Max_shearforce_1!L15/_xlfn.XLOOKUP(B15,'Pier geometry_1'!A:A,'Pier geometry_1'!I:I))))</f>
        <v>111931.46117810579</v>
      </c>
      <c r="N15" s="57">
        <f t="shared" ca="1" si="3"/>
        <v>1.65</v>
      </c>
      <c r="O15" s="53">
        <f t="shared" ca="1" si="4"/>
        <v>67837.249198851991</v>
      </c>
      <c r="P15" s="53">
        <f t="shared" ca="1" si="5"/>
        <v>42012.398616875362</v>
      </c>
      <c r="Q15" s="65" t="str">
        <f t="shared" ca="1" si="6"/>
        <v>Flexure</v>
      </c>
      <c r="R15" s="53">
        <f t="shared" ca="1" si="7"/>
        <v>33609.918893500289</v>
      </c>
    </row>
    <row r="16" spans="1:27" x14ac:dyDescent="0.3">
      <c r="A16"/>
      <c r="B16"/>
      <c r="C16"/>
      <c r="D16" t="str">
        <f>IF(B16="","",MAX(_xlfn.XLOOKUP(C16,'Pier geometry_1'!A:A,'Pier geometry_1'!G:G),_xlfn.XLOOKUP(B16,'Pier geometry_1'!A:A,'Pier geometry_1'!G:G))*1/2)</f>
        <v/>
      </c>
      <c r="E16" t="str">
        <f>IF(D16="","",_xlfn.XLOOKUP(B16,'Normal loads_1'!A:A,'Normal loads_1'!J:J)/'Material properties'!$H$14/_xlfn.XLOOKUP(Max_shearforce_1!B16,'Pier geometry_1'!A:A,'Pier geometry_1'!H:H)/_xlfn.XLOOKUP(B16,'Pier geometry_1'!A:A,'Pier geometry_1'!I:I))</f>
        <v/>
      </c>
      <c r="F16" t="str">
        <f t="shared" si="0"/>
        <v/>
      </c>
      <c r="G16" t="str">
        <f>IF(F16="","",_xlfn.XLOOKUP(B16,'Pier geometry_1'!A:A,'Pier geometry_1'!H:H)*_xlfn.XLOOKUP(B16,'Normal loads_1'!A:A,'Normal loads_1'!J:J)*(1-(Max_shearforce_1!E16/Max_shearforce_1!F16))/(2*Max_shearforce_1!D16))</f>
        <v/>
      </c>
      <c r="H16" t="str">
        <f t="shared" si="1"/>
        <v/>
      </c>
      <c r="I16" t="str">
        <f t="shared" si="2"/>
        <v/>
      </c>
      <c r="J16" t="str">
        <f>IF(D16="","",_xlfn.XLOOKUP(B16,'Normal loads_1'!A:A,'Normal loads_1'!J:J)/_xlfn.XLOOKUP(Max_shearforce_1!B16,'Pier geometry_1'!A:A,'Pier geometry_1'!H:H)/_xlfn.XLOOKUP(B16,'Pier geometry_1'!A:A,'Pier geometry_1'!I:I))</f>
        <v/>
      </c>
      <c r="K16" t="str">
        <f>IF(J16="","",(J16*_xlfn.XLOOKUP(B16,'Pier geometry_1'!A:A,'Pier geometry_1'!H:H)^2*_xlfn.XLOOKUP(B16,'Pier geometry_1'!A:A,'Pier geometry_1'!I:I)/2)*(1-(J16/(0.85*'Material properties'!$H$14))))</f>
        <v/>
      </c>
      <c r="L16" t="str">
        <f>IF(K16="","",3*_xlfn.XLOOKUP(B16,'Pier geometry_1'!A:A,'Pier geometry_1'!H:H)*(0.5-(K16/(_xlfn.XLOOKUP(B16,'Normal loads_1'!A:A,'Normal loads_1'!J:J)*_xlfn.XLOOKUP(B16,'Pier geometry_1'!A:A,'Pier geometry_1'!H:H)))))</f>
        <v/>
      </c>
      <c r="M16" t="str">
        <f>IF(K16="","",L16*_xlfn.XLOOKUP(B16,'Pier geometry_1'!A:A,'Pier geometry_1'!I:I)*('Material properties'!$G$24+('Material properties'!$H$18*_xlfn.XLOOKUP(B16,'Normal loads_1'!A:A,'Normal loads_1'!J:J)/Max_shearforce_1!L16/_xlfn.XLOOKUP(B16,'Pier geometry_1'!A:A,'Pier geometry_1'!I:I))))</f>
        <v/>
      </c>
      <c r="N16" t="str">
        <f t="shared" si="3"/>
        <v/>
      </c>
      <c r="O16" t="str">
        <f t="shared" si="4"/>
        <v/>
      </c>
      <c r="P16" t="str">
        <f t="shared" si="5"/>
        <v/>
      </c>
      <c r="Q16" t="str">
        <f t="shared" si="6"/>
        <v/>
      </c>
      <c r="R16" t="str">
        <f t="shared" si="7"/>
        <v/>
      </c>
    </row>
    <row r="17" spans="1:18" x14ac:dyDescent="0.3">
      <c r="A17" s="46" t="s">
        <v>38</v>
      </c>
      <c r="B17"/>
      <c r="C17"/>
      <c r="D17" t="str">
        <f>IF(B17="","",MAX(_xlfn.XLOOKUP(C17,'Pier geometry_1'!A:A,'Pier geometry_1'!G:G),_xlfn.XLOOKUP(B17,'Pier geometry_1'!A:A,'Pier geometry_1'!G:G))*1/2)</f>
        <v/>
      </c>
      <c r="E17" t="str">
        <f>IF(D17="","",_xlfn.XLOOKUP(B17,'Normal loads_1'!A:A,'Normal loads_1'!J:J)/'Material properties'!$H$14/_xlfn.XLOOKUP(Max_shearforce_1!B17,'Pier geometry_1'!A:A,'Pier geometry_1'!H:H)/_xlfn.XLOOKUP(B17,'Pier geometry_1'!A:A,'Pier geometry_1'!I:I))</f>
        <v/>
      </c>
      <c r="F17" t="str">
        <f t="shared" si="0"/>
        <v/>
      </c>
      <c r="G17" t="str">
        <f>IF(F17="","",_xlfn.XLOOKUP(B17,'Pier geometry_1'!A:A,'Pier geometry_1'!H:H)*_xlfn.XLOOKUP(B17,'Normal loads_1'!A:A,'Normal loads_1'!J:J)*(1-(Max_shearforce_1!E17/Max_shearforce_1!F17))/(2*Max_shearforce_1!D17))</f>
        <v/>
      </c>
      <c r="H17" t="str">
        <f t="shared" si="1"/>
        <v/>
      </c>
      <c r="I17" t="str">
        <f t="shared" si="2"/>
        <v/>
      </c>
      <c r="J17" t="str">
        <f>IF(D17="","",_xlfn.XLOOKUP(B17,'Normal loads_1'!A:A,'Normal loads_1'!J:J)/_xlfn.XLOOKUP(Max_shearforce_1!B17,'Pier geometry_1'!A:A,'Pier geometry_1'!H:H)/_xlfn.XLOOKUP(B17,'Pier geometry_1'!A:A,'Pier geometry_1'!I:I))</f>
        <v/>
      </c>
      <c r="K17" t="str">
        <f>IF(J17="","",(J17*_xlfn.XLOOKUP(B17,'Pier geometry_1'!A:A,'Pier geometry_1'!H:H)^2*_xlfn.XLOOKUP(B17,'Pier geometry_1'!A:A,'Pier geometry_1'!I:I)/2)*(1-(J17/(0.85*'Material properties'!$H$14))))</f>
        <v/>
      </c>
      <c r="L17" t="str">
        <f>IF(K17="","",3*_xlfn.XLOOKUP(B17,'Pier geometry_1'!A:A,'Pier geometry_1'!H:H)*(0.5-(K17/(_xlfn.XLOOKUP(B17,'Normal loads_1'!A:A,'Normal loads_1'!J:J)*_xlfn.XLOOKUP(B17,'Pier geometry_1'!A:A,'Pier geometry_1'!H:H)))))</f>
        <v/>
      </c>
      <c r="M17" t="str">
        <f>IF(K17="","",L17*_xlfn.XLOOKUP(B17,'Pier geometry_1'!A:A,'Pier geometry_1'!I:I)*('Material properties'!$G$24+('Material properties'!$H$18*_xlfn.XLOOKUP(B17,'Normal loads_1'!A:A,'Normal loads_1'!J:J)/Max_shearforce_1!L17/_xlfn.XLOOKUP(B17,'Pier geometry_1'!A:A,'Pier geometry_1'!I:I))))</f>
        <v/>
      </c>
      <c r="N17" t="str">
        <f t="shared" si="3"/>
        <v/>
      </c>
      <c r="O17" t="str">
        <f t="shared" si="4"/>
        <v/>
      </c>
      <c r="P17" t="str">
        <f t="shared" si="5"/>
        <v/>
      </c>
      <c r="Q17" t="str">
        <f t="shared" si="6"/>
        <v/>
      </c>
      <c r="R17" t="str">
        <f t="shared" si="7"/>
        <v/>
      </c>
    </row>
    <row r="18" spans="1:18" x14ac:dyDescent="0.3">
      <c r="A18" s="65">
        <v>10</v>
      </c>
      <c r="B18" s="65">
        <v>51</v>
      </c>
      <c r="C18" s="65">
        <v>42</v>
      </c>
      <c r="D18" s="57">
        <f>IF(B18="","",MAX(_xlfn.XLOOKUP(C18,'Pier geometry_1'!A:A,'Pier geometry_1'!G:G),_xlfn.XLOOKUP(B18,'Pier geometry_1'!A:A,'Pier geometry_1'!G:G))*1/2)</f>
        <v>1.7</v>
      </c>
      <c r="E18" s="54">
        <f ca="1">IF(D18="","",_xlfn.XLOOKUP(B18,'Normal loads_1'!A:A,'Normal loads_1'!J:J)/'Material properties'!$H$14/_xlfn.XLOOKUP(Max_shearforce_1!B18,'Pier geometry_1'!A:A,'Pier geometry_1'!H:H)/_xlfn.XLOOKUP(B18,'Pier geometry_1'!A:A,'Pier geometry_1'!I:I))</f>
        <v>0.12630656728746231</v>
      </c>
      <c r="F18" s="57">
        <f t="shared" ca="1" si="0"/>
        <v>0.85</v>
      </c>
      <c r="G18" s="53">
        <f ca="1">IF(F18="","",_xlfn.XLOOKUP(B18,'Pier geometry_1'!A:A,'Pier geometry_1'!H:H)*_xlfn.XLOOKUP(B18,'Normal loads_1'!A:A,'Normal loads_1'!J:J)*(1-(Max_shearforce_1!E18/Max_shearforce_1!F18))/(2*Max_shearforce_1!D18))</f>
        <v>122607.60260928996</v>
      </c>
      <c r="H18" s="57">
        <f t="shared" ca="1" si="1"/>
        <v>2.15</v>
      </c>
      <c r="I18" s="53">
        <f t="shared" ca="1" si="2"/>
        <v>57026.79191129766</v>
      </c>
      <c r="J18" s="53">
        <f ca="1">IF(D18="","",_xlfn.XLOOKUP(B18,'Normal loads_1'!A:A,'Normal loads_1'!J:J)/_xlfn.XLOOKUP(Max_shearforce_1!B18,'Pier geometry_1'!A:A,'Pier geometry_1'!H:H)/_xlfn.XLOOKUP(B18,'Pier geometry_1'!A:A,'Pier geometry_1'!I:I))</f>
        <v>161672.40612795175</v>
      </c>
      <c r="K18" s="53">
        <f ca="1">IF(J18="","",(J18*_xlfn.XLOOKUP(B18,'Pier geometry_1'!A:A,'Pier geometry_1'!H:H)^2*_xlfn.XLOOKUP(B18,'Pier geometry_1'!A:A,'Pier geometry_1'!I:I)/2)*(1-(J18/(0.85*'Material properties'!$H$14))))</f>
        <v>208432.92443579293</v>
      </c>
      <c r="L18" s="57">
        <f ca="1">IF(K18="","",3*_xlfn.XLOOKUP(B18,'Pier geometry_1'!A:A,'Pier geometry_1'!H:H)*(0.5-(K18/(_xlfn.XLOOKUP(B18,'Normal loads_1'!A:A,'Normal loads_1'!J:J)*_xlfn.XLOOKUP(B18,'Pier geometry_1'!A:A,'Pier geometry_1'!H:H)))))</f>
        <v>0.4636193999257438</v>
      </c>
      <c r="M18" s="53">
        <f ca="1">IF(K18="","",L18*_xlfn.XLOOKUP(B18,'Pier geometry_1'!A:A,'Pier geometry_1'!I:I)*('Material properties'!$G$24+('Material properties'!$H$18*_xlfn.XLOOKUP(B18,'Normal loads_1'!A:A,'Normal loads_1'!J:J)/Max_shearforce_1!L18/_xlfn.XLOOKUP(B18,'Pier geometry_1'!A:A,'Pier geometry_1'!I:I))))</f>
        <v>159886.87705439155</v>
      </c>
      <c r="N18" s="57">
        <f t="shared" ca="1" si="3"/>
        <v>1.65</v>
      </c>
      <c r="O18" s="53">
        <f t="shared" ca="1" si="4"/>
        <v>96901.137608722158</v>
      </c>
      <c r="P18" s="53">
        <f t="shared" ca="1" si="5"/>
        <v>57026.79191129766</v>
      </c>
      <c r="Q18" s="65" t="str">
        <f t="shared" ca="1" si="6"/>
        <v>Flexure</v>
      </c>
      <c r="R18" s="53">
        <f t="shared" ca="1" si="7"/>
        <v>45621.433529038128</v>
      </c>
    </row>
    <row r="19" spans="1:18" x14ac:dyDescent="0.3">
      <c r="A19" s="65">
        <v>11</v>
      </c>
      <c r="B19" s="65">
        <v>52</v>
      </c>
      <c r="C19" s="65">
        <v>43</v>
      </c>
      <c r="D19" s="57">
        <f>IF(B19="","",MAX(_xlfn.XLOOKUP(C19,'Pier geometry_1'!A:A,'Pier geometry_1'!G:G),_xlfn.XLOOKUP(B19,'Pier geometry_1'!A:A,'Pier geometry_1'!G:G))*1/2)</f>
        <v>1.7</v>
      </c>
      <c r="E19" s="54">
        <f ca="1">IF(D19="","",_xlfn.XLOOKUP(B19,'Normal loads_1'!A:A,'Normal loads_1'!J:J)/'Material properties'!$H$14/_xlfn.XLOOKUP(Max_shearforce_1!B19,'Pier geometry_1'!A:A,'Pier geometry_1'!H:H)/_xlfn.XLOOKUP(B19,'Pier geometry_1'!A:A,'Pier geometry_1'!I:I))</f>
        <v>0.13769919294455799</v>
      </c>
      <c r="F19" s="57">
        <f t="shared" ca="1" si="0"/>
        <v>0.85</v>
      </c>
      <c r="G19" s="53">
        <f ca="1">IF(F19="","",_xlfn.XLOOKUP(B19,'Pier geometry_1'!A:A,'Pier geometry_1'!H:H)*_xlfn.XLOOKUP(B19,'Normal loads_1'!A:A,'Normal loads_1'!J:J)*(1-(Max_shearforce_1!E19/Max_shearforce_1!F19))/(2*Max_shearforce_1!D19))</f>
        <v>221683.06964895601</v>
      </c>
      <c r="H19" s="57">
        <f t="shared" ca="1" si="1"/>
        <v>2.15</v>
      </c>
      <c r="I19" s="53">
        <f t="shared" ca="1" si="2"/>
        <v>103108.40448788652</v>
      </c>
      <c r="J19" s="53">
        <f ca="1">IF(D19="","",_xlfn.XLOOKUP(B19,'Normal loads_1'!A:A,'Normal loads_1'!J:J)/_xlfn.XLOOKUP(Max_shearforce_1!B19,'Pier geometry_1'!A:A,'Pier geometry_1'!H:H)/_xlfn.XLOOKUP(B19,'Pier geometry_1'!A:A,'Pier geometry_1'!I:I))</f>
        <v>176254.96696903423</v>
      </c>
      <c r="K19" s="53">
        <f ca="1">IF(J19="","",(J19*_xlfn.XLOOKUP(B19,'Pier geometry_1'!A:A,'Pier geometry_1'!H:H)^2*_xlfn.XLOOKUP(B19,'Pier geometry_1'!A:A,'Pier geometry_1'!I:I)/2)*(1-(J19/(0.85*'Material properties'!$H$14))))</f>
        <v>376861.2184032253</v>
      </c>
      <c r="L19" s="57">
        <f ca="1">IF(K19="","",3*_xlfn.XLOOKUP(B19,'Pier geometry_1'!A:A,'Pier geometry_1'!H:H)*(0.5-(K19/(_xlfn.XLOOKUP(B19,'Normal loads_1'!A:A,'Normal loads_1'!J:J)*_xlfn.XLOOKUP(B19,'Pier geometry_1'!A:A,'Pier geometry_1'!H:H)))))</f>
        <v>0.65609615461818704</v>
      </c>
      <c r="M19" s="53">
        <f ca="1">IF(K19="","",L19*_xlfn.XLOOKUP(B19,'Pier geometry_1'!A:A,'Pier geometry_1'!I:I)*('Material properties'!$G$24+('Material properties'!$H$18*_xlfn.XLOOKUP(B19,'Normal loads_1'!A:A,'Normal loads_1'!J:J)/Max_shearforce_1!L19/_xlfn.XLOOKUP(B19,'Pier geometry_1'!A:A,'Pier geometry_1'!I:I))))</f>
        <v>226265.69385599231</v>
      </c>
      <c r="N19" s="57">
        <f t="shared" ca="1" si="3"/>
        <v>1.65</v>
      </c>
      <c r="O19" s="53">
        <f t="shared" ca="1" si="4"/>
        <v>137130.72354908625</v>
      </c>
      <c r="P19" s="53">
        <f t="shared" ca="1" si="5"/>
        <v>103108.40448788652</v>
      </c>
      <c r="Q19" s="65" t="str">
        <f t="shared" ca="1" si="6"/>
        <v>Flexure</v>
      </c>
      <c r="R19" s="53">
        <f t="shared" ca="1" si="7"/>
        <v>82486.723590309222</v>
      </c>
    </row>
    <row r="20" spans="1:18" x14ac:dyDescent="0.3">
      <c r="A20" s="65">
        <v>12</v>
      </c>
      <c r="B20" s="65">
        <v>53</v>
      </c>
      <c r="C20" s="65">
        <v>44</v>
      </c>
      <c r="D20" s="57">
        <f>IF(B20="","",MAX(_xlfn.XLOOKUP(C20,'Pier geometry_1'!A:A,'Pier geometry_1'!G:G),_xlfn.XLOOKUP(B20,'Pier geometry_1'!A:A,'Pier geometry_1'!G:G))*1/2)</f>
        <v>1.7</v>
      </c>
      <c r="E20" s="54">
        <f ca="1">IF(D20="","",_xlfn.XLOOKUP(B20,'Normal loads_1'!A:A,'Normal loads_1'!J:J)/'Material properties'!$H$14/_xlfn.XLOOKUP(Max_shearforce_1!B20,'Pier geometry_1'!A:A,'Pier geometry_1'!H:H)/_xlfn.XLOOKUP(B20,'Pier geometry_1'!A:A,'Pier geometry_1'!I:I))</f>
        <v>0.12858111174974537</v>
      </c>
      <c r="F20" s="57">
        <f t="shared" ca="1" si="0"/>
        <v>0.85</v>
      </c>
      <c r="G20" s="53">
        <f ca="1">IF(F20="","",_xlfn.XLOOKUP(B20,'Pier geometry_1'!A:A,'Pier geometry_1'!H:H)*_xlfn.XLOOKUP(B20,'Normal loads_1'!A:A,'Normal loads_1'!J:J)*(1-(Max_shearforce_1!E20/Max_shearforce_1!F20))/(2*Max_shearforce_1!D20))</f>
        <v>225471.11625717141</v>
      </c>
      <c r="H20" s="57">
        <f t="shared" ca="1" si="1"/>
        <v>2.15</v>
      </c>
      <c r="I20" s="53">
        <f t="shared" ca="1" si="2"/>
        <v>104870.28663124252</v>
      </c>
      <c r="J20" s="53">
        <f ca="1">IF(D20="","",_xlfn.XLOOKUP(B20,'Normal loads_1'!A:A,'Normal loads_1'!J:J)/_xlfn.XLOOKUP(Max_shearforce_1!B20,'Pier geometry_1'!A:A,'Pier geometry_1'!H:H)/_xlfn.XLOOKUP(B20,'Pier geometry_1'!A:A,'Pier geometry_1'!I:I))</f>
        <v>164583.82303967405</v>
      </c>
      <c r="K20" s="53">
        <f ca="1">IF(J20="","",(J20*_xlfn.XLOOKUP(B20,'Pier geometry_1'!A:A,'Pier geometry_1'!H:H)^2*_xlfn.XLOOKUP(B20,'Pier geometry_1'!A:A,'Pier geometry_1'!I:I)/2)*(1-(J20/(0.85*'Material properties'!$H$14))))</f>
        <v>383300.8976371914</v>
      </c>
      <c r="L20" s="57">
        <f ca="1">IF(K20="","",3*_xlfn.XLOOKUP(B20,'Pier geometry_1'!A:A,'Pier geometry_1'!H:H)*(0.5-(K20/(_xlfn.XLOOKUP(B20,'Normal loads_1'!A:A,'Normal loads_1'!J:J)*_xlfn.XLOOKUP(B20,'Pier geometry_1'!A:A,'Pier geometry_1'!H:H)))))</f>
        <v>0.63534196393991804</v>
      </c>
      <c r="M20" s="53">
        <f ca="1">IF(K20="","",L20*_xlfn.XLOOKUP(B20,'Pier geometry_1'!A:A,'Pier geometry_1'!I:I)*('Material properties'!$G$24+('Material properties'!$H$18*_xlfn.XLOOKUP(B20,'Normal loads_1'!A:A,'Normal loads_1'!J:J)/Max_shearforce_1!L20/_xlfn.XLOOKUP(B20,'Pier geometry_1'!A:A,'Pier geometry_1'!I:I))))</f>
        <v>219108.26529741311</v>
      </c>
      <c r="N20" s="57">
        <f t="shared" ca="1" si="3"/>
        <v>1.65</v>
      </c>
      <c r="O20" s="53">
        <f t="shared" ca="1" si="4"/>
        <v>132792.88805903826</v>
      </c>
      <c r="P20" s="53">
        <f t="shared" ca="1" si="5"/>
        <v>104870.28663124252</v>
      </c>
      <c r="Q20" s="65" t="str">
        <f t="shared" ca="1" si="6"/>
        <v>Flexure</v>
      </c>
      <c r="R20" s="53">
        <f t="shared" ca="1" si="7"/>
        <v>83896.22930499402</v>
      </c>
    </row>
    <row r="21" spans="1:18" x14ac:dyDescent="0.3">
      <c r="A21" s="65">
        <v>13</v>
      </c>
      <c r="B21" s="65">
        <v>54</v>
      </c>
      <c r="C21" s="65">
        <v>45</v>
      </c>
      <c r="D21" s="57">
        <f>IF(B21="","",MAX(_xlfn.XLOOKUP(C21,'Pier geometry_1'!A:A,'Pier geometry_1'!G:G),_xlfn.XLOOKUP(B21,'Pier geometry_1'!A:A,'Pier geometry_1'!G:G))*1/2)</f>
        <v>1.7</v>
      </c>
      <c r="E21" s="54">
        <f ca="1">IF(D21="","",_xlfn.XLOOKUP(B21,'Normal loads_1'!A:A,'Normal loads_1'!J:J)/'Material properties'!$H$14/_xlfn.XLOOKUP(Max_shearforce_1!B21,'Pier geometry_1'!A:A,'Pier geometry_1'!H:H)/_xlfn.XLOOKUP(B21,'Pier geometry_1'!A:A,'Pier geometry_1'!I:I))</f>
        <v>0.15229657250449682</v>
      </c>
      <c r="F21" s="57">
        <f t="shared" ca="1" si="0"/>
        <v>0.85</v>
      </c>
      <c r="G21" s="53">
        <f ca="1">IF(F21="","",_xlfn.XLOOKUP(B21,'Pier geometry_1'!A:A,'Pier geometry_1'!H:H)*_xlfn.XLOOKUP(B21,'Normal loads_1'!A:A,'Normal loads_1'!J:J)*(1-(Max_shearforce_1!E21/Max_shearforce_1!F21))/(2*Max_shearforce_1!D21))</f>
        <v>240158.89749310067</v>
      </c>
      <c r="H21" s="57">
        <f t="shared" ca="1" si="1"/>
        <v>2.15</v>
      </c>
      <c r="I21" s="53">
        <f t="shared" ca="1" si="2"/>
        <v>111701.81278748868</v>
      </c>
      <c r="J21" s="53">
        <f ca="1">IF(D21="","",_xlfn.XLOOKUP(B21,'Normal loads_1'!A:A,'Normal loads_1'!J:J)/_xlfn.XLOOKUP(Max_shearforce_1!B21,'Pier geometry_1'!A:A,'Pier geometry_1'!H:H)/_xlfn.XLOOKUP(B21,'Pier geometry_1'!A:A,'Pier geometry_1'!I:I))</f>
        <v>194939.61280575593</v>
      </c>
      <c r="K21" s="53">
        <f ca="1">IF(J21="","",(J21*_xlfn.XLOOKUP(B21,'Pier geometry_1'!A:A,'Pier geometry_1'!H:H)^2*_xlfn.XLOOKUP(B21,'Pier geometry_1'!A:A,'Pier geometry_1'!I:I)/2)*(1-(J21/(0.85*'Material properties'!$H$14))))</f>
        <v>408270.1257382711</v>
      </c>
      <c r="L21" s="57">
        <f ca="1">IF(K21="","",3*_xlfn.XLOOKUP(B21,'Pier geometry_1'!A:A,'Pier geometry_1'!H:H)*(0.5-(K21/(_xlfn.XLOOKUP(B21,'Normal loads_1'!A:A,'Normal loads_1'!J:J)*_xlfn.XLOOKUP(B21,'Pier geometry_1'!A:A,'Pier geometry_1'!H:H)))))</f>
        <v>0.72564837487436729</v>
      </c>
      <c r="M21" s="53">
        <f ca="1">IF(K21="","",L21*_xlfn.XLOOKUP(B21,'Pier geometry_1'!A:A,'Pier geometry_1'!I:I)*('Material properties'!$G$24+('Material properties'!$H$18*_xlfn.XLOOKUP(B21,'Normal loads_1'!A:A,'Normal loads_1'!J:J)/Max_shearforce_1!L21/_xlfn.XLOOKUP(B21,'Pier geometry_1'!A:A,'Pier geometry_1'!I:I))))</f>
        <v>250251.93621500678</v>
      </c>
      <c r="N21" s="57">
        <f t="shared" ca="1" si="3"/>
        <v>1.65</v>
      </c>
      <c r="O21" s="53">
        <f t="shared" ca="1" si="4"/>
        <v>151667.84013030716</v>
      </c>
      <c r="P21" s="53">
        <f t="shared" ca="1" si="5"/>
        <v>111701.81278748868</v>
      </c>
      <c r="Q21" s="65" t="str">
        <f t="shared" ca="1" si="6"/>
        <v>Flexure</v>
      </c>
      <c r="R21" s="53">
        <f t="shared" ca="1" si="7"/>
        <v>89361.450229990951</v>
      </c>
    </row>
    <row r="22" spans="1:18" x14ac:dyDescent="0.3">
      <c r="A22" s="65">
        <v>14</v>
      </c>
      <c r="B22" s="65">
        <v>55</v>
      </c>
      <c r="C22" s="65">
        <v>46</v>
      </c>
      <c r="D22" s="57">
        <f>IF(B22="","",MAX(_xlfn.XLOOKUP(C22,'Pier geometry_1'!A:A,'Pier geometry_1'!G:G),_xlfn.XLOOKUP(B22,'Pier geometry_1'!A:A,'Pier geometry_1'!G:G))*1/2)</f>
        <v>1.7</v>
      </c>
      <c r="E22" s="54">
        <f ca="1">IF(D22="","",_xlfn.XLOOKUP(B22,'Normal loads_1'!A:A,'Normal loads_1'!J:J)/'Material properties'!$H$14/_xlfn.XLOOKUP(Max_shearforce_1!B22,'Pier geometry_1'!A:A,'Pier geometry_1'!H:H)/_xlfn.XLOOKUP(B22,'Pier geometry_1'!A:A,'Pier geometry_1'!I:I))</f>
        <v>0.1263091514070519</v>
      </c>
      <c r="F22" s="57">
        <f t="shared" ca="1" si="0"/>
        <v>0.85</v>
      </c>
      <c r="G22" s="53">
        <f ca="1">IF(F22="","",_xlfn.XLOOKUP(B22,'Pier geometry_1'!A:A,'Pier geometry_1'!H:H)*_xlfn.XLOOKUP(B22,'Normal loads_1'!A:A,'Normal loads_1'!J:J)*(1-(Max_shearforce_1!E22/Max_shearforce_1!F22))/(2*Max_shearforce_1!D22))</f>
        <v>122609.6732427909</v>
      </c>
      <c r="H22" s="57">
        <f t="shared" ca="1" si="1"/>
        <v>2.15</v>
      </c>
      <c r="I22" s="53">
        <f t="shared" ca="1" si="2"/>
        <v>57027.754996646931</v>
      </c>
      <c r="J22" s="53">
        <f ca="1">IF(D22="","",_xlfn.XLOOKUP(B22,'Normal loads_1'!A:A,'Normal loads_1'!J:J)/_xlfn.XLOOKUP(Max_shearforce_1!B22,'Pier geometry_1'!A:A,'Pier geometry_1'!H:H)/_xlfn.XLOOKUP(B22,'Pier geometry_1'!A:A,'Pier geometry_1'!I:I))</f>
        <v>161675.71380102643</v>
      </c>
      <c r="K22" s="53">
        <f ca="1">IF(J22="","",(J22*_xlfn.XLOOKUP(B22,'Pier geometry_1'!A:A,'Pier geometry_1'!H:H)^2*_xlfn.XLOOKUP(B22,'Pier geometry_1'!A:A,'Pier geometry_1'!I:I)/2)*(1-(J22/(0.85*'Material properties'!$H$14))))</f>
        <v>208436.44451274455</v>
      </c>
      <c r="L22" s="57">
        <f ca="1">IF(K22="","",3*_xlfn.XLOOKUP(B22,'Pier geometry_1'!A:A,'Pier geometry_1'!H:H)*(0.5-(K22/(_xlfn.XLOOKUP(B22,'Normal loads_1'!A:A,'Normal loads_1'!J:J)*_xlfn.XLOOKUP(B22,'Pier geometry_1'!A:A,'Pier geometry_1'!H:H)))))</f>
        <v>0.46362888516470763</v>
      </c>
      <c r="M22" s="53">
        <f ca="1">IF(K22="","",L22*_xlfn.XLOOKUP(B22,'Pier geometry_1'!A:A,'Pier geometry_1'!I:I)*('Material properties'!$G$24+('Material properties'!$H$18*_xlfn.XLOOKUP(B22,'Normal loads_1'!A:A,'Normal loads_1'!J:J)/Max_shearforce_1!L22/_xlfn.XLOOKUP(B22,'Pier geometry_1'!A:A,'Pier geometry_1'!I:I))))</f>
        <v>159890.14819713563</v>
      </c>
      <c r="N22" s="57">
        <f t="shared" ca="1" si="3"/>
        <v>1.65</v>
      </c>
      <c r="O22" s="53">
        <f t="shared" ca="1" si="4"/>
        <v>96903.120119476138</v>
      </c>
      <c r="P22" s="53">
        <f t="shared" ca="1" si="5"/>
        <v>57027.754996646931</v>
      </c>
      <c r="Q22" s="65" t="str">
        <f t="shared" ca="1" si="6"/>
        <v>Flexure</v>
      </c>
      <c r="R22" s="53">
        <f t="shared" ca="1" si="7"/>
        <v>45622.203997317549</v>
      </c>
    </row>
    <row r="23" spans="1:18" x14ac:dyDescent="0.3">
      <c r="A23"/>
      <c r="B23"/>
      <c r="C23"/>
      <c r="D23" t="str">
        <f>IF(B23="","",MAX(_xlfn.XLOOKUP(C23,'Pier geometry_1'!A:A,'Pier geometry_1'!G:G),_xlfn.XLOOKUP(B23,'Pier geometry_1'!A:A,'Pier geometry_1'!G:G))*1/2)</f>
        <v/>
      </c>
      <c r="E23" t="str">
        <f>IF(D23="","",_xlfn.XLOOKUP(B23,'Normal loads_1'!A:A,'Normal loads_1'!J:J)/'Material properties'!$H$14/_xlfn.XLOOKUP(Max_shearforce_1!B23,'Pier geometry_1'!A:A,'Pier geometry_1'!H:H)/_xlfn.XLOOKUP(B23,'Pier geometry_1'!A:A,'Pier geometry_1'!I:I))</f>
        <v/>
      </c>
      <c r="F23" t="str">
        <f t="shared" si="0"/>
        <v/>
      </c>
      <c r="G23" t="str">
        <f>IF(F23="","",_xlfn.XLOOKUP(B23,'Pier geometry_1'!A:A,'Pier geometry_1'!H:H)*_xlfn.XLOOKUP(B23,'Normal loads_1'!A:A,'Normal loads_1'!J:J)*(1-(Max_shearforce_1!E23/Max_shearforce_1!F23))/(2*Max_shearforce_1!D23))</f>
        <v/>
      </c>
      <c r="H23" t="str">
        <f t="shared" si="1"/>
        <v/>
      </c>
      <c r="I23" t="str">
        <f t="shared" si="2"/>
        <v/>
      </c>
      <c r="J23" t="str">
        <f>IF(D23="","",_xlfn.XLOOKUP(B23,'Normal loads_1'!A:A,'Normal loads_1'!J:J)/_xlfn.XLOOKUP(Max_shearforce_1!B23,'Pier geometry_1'!A:A,'Pier geometry_1'!H:H)/_xlfn.XLOOKUP(B23,'Pier geometry_1'!A:A,'Pier geometry_1'!I:I))</f>
        <v/>
      </c>
      <c r="K23" t="str">
        <f>IF(J23="","",(J23*_xlfn.XLOOKUP(B23,'Pier geometry_1'!A:A,'Pier geometry_1'!H:H)^2*_xlfn.XLOOKUP(B23,'Pier geometry_1'!A:A,'Pier geometry_1'!I:I)/2)*(1-(J23/(0.85*'Material properties'!$H$14))))</f>
        <v/>
      </c>
      <c r="L23" t="str">
        <f>IF(K23="","",3*_xlfn.XLOOKUP(B23,'Pier geometry_1'!A:A,'Pier geometry_1'!H:H)*(0.5-(K23/(_xlfn.XLOOKUP(B23,'Normal loads_1'!A:A,'Normal loads_1'!J:J)*_xlfn.XLOOKUP(B23,'Pier geometry_1'!A:A,'Pier geometry_1'!H:H)))))</f>
        <v/>
      </c>
      <c r="M23" t="str">
        <f>IF(K23="","",L23*_xlfn.XLOOKUP(B23,'Pier geometry_1'!A:A,'Pier geometry_1'!I:I)*('Material properties'!$G$24+('Material properties'!$H$18*_xlfn.XLOOKUP(B23,'Normal loads_1'!A:A,'Normal loads_1'!J:J)/Max_shearforce_1!L23/_xlfn.XLOOKUP(B23,'Pier geometry_1'!A:A,'Pier geometry_1'!I:I))))</f>
        <v/>
      </c>
      <c r="N23" t="str">
        <f t="shared" si="3"/>
        <v/>
      </c>
      <c r="O23" t="str">
        <f t="shared" si="4"/>
        <v/>
      </c>
      <c r="P23" t="str">
        <f t="shared" si="5"/>
        <v/>
      </c>
      <c r="Q23" t="str">
        <f t="shared" si="6"/>
        <v/>
      </c>
      <c r="R23" t="str">
        <f t="shared" si="7"/>
        <v/>
      </c>
    </row>
    <row r="24" spans="1:18" x14ac:dyDescent="0.3">
      <c r="A24" s="46" t="s">
        <v>40</v>
      </c>
      <c r="B24"/>
      <c r="C24"/>
      <c r="D24" t="str">
        <f>IF(B24="","",MAX(_xlfn.XLOOKUP(C24,'Pier geometry_1'!A:A,'Pier geometry_1'!G:G),_xlfn.XLOOKUP(B24,'Pier geometry_1'!A:A,'Pier geometry_1'!G:G))*1/2)</f>
        <v/>
      </c>
      <c r="E24" t="str">
        <f>IF(D24="","",_xlfn.XLOOKUP(B24,'Normal loads_1'!A:A,'Normal loads_1'!J:J)/'Material properties'!$H$14/_xlfn.XLOOKUP(Max_shearforce_1!B24,'Pier geometry_1'!A:A,'Pier geometry_1'!H:H)/_xlfn.XLOOKUP(B24,'Pier geometry_1'!A:A,'Pier geometry_1'!I:I))</f>
        <v/>
      </c>
      <c r="F24" t="str">
        <f t="shared" si="0"/>
        <v/>
      </c>
      <c r="G24" t="str">
        <f>IF(F24="","",_xlfn.XLOOKUP(B24,'Pier geometry_1'!A:A,'Pier geometry_1'!H:H)*_xlfn.XLOOKUP(B24,'Normal loads_1'!A:A,'Normal loads_1'!J:J)*(1-(Max_shearforce_1!E24/Max_shearforce_1!F24))/(2*Max_shearforce_1!D24))</f>
        <v/>
      </c>
      <c r="H24" t="str">
        <f t="shared" si="1"/>
        <v/>
      </c>
      <c r="I24" t="str">
        <f t="shared" si="2"/>
        <v/>
      </c>
      <c r="J24" t="str">
        <f>IF(D24="","",_xlfn.XLOOKUP(B24,'Normal loads_1'!A:A,'Normal loads_1'!J:J)/_xlfn.XLOOKUP(Max_shearforce_1!B24,'Pier geometry_1'!A:A,'Pier geometry_1'!H:H)/_xlfn.XLOOKUP(B24,'Pier geometry_1'!A:A,'Pier geometry_1'!I:I))</f>
        <v/>
      </c>
      <c r="K24" t="str">
        <f>IF(J24="","",(J24*_xlfn.XLOOKUP(B24,'Pier geometry_1'!A:A,'Pier geometry_1'!H:H)^2*_xlfn.XLOOKUP(B24,'Pier geometry_1'!A:A,'Pier geometry_1'!I:I)/2)*(1-(J24/(0.85*'Material properties'!$H$14))))</f>
        <v/>
      </c>
      <c r="L24" t="str">
        <f>IF(K24="","",3*_xlfn.XLOOKUP(B24,'Pier geometry_1'!A:A,'Pier geometry_1'!H:H)*(0.5-(K24/(_xlfn.XLOOKUP(B24,'Normal loads_1'!A:A,'Normal loads_1'!J:J)*_xlfn.XLOOKUP(B24,'Pier geometry_1'!A:A,'Pier geometry_1'!H:H)))))</f>
        <v/>
      </c>
      <c r="M24" t="str">
        <f>IF(K24="","",L24*_xlfn.XLOOKUP(B24,'Pier geometry_1'!A:A,'Pier geometry_1'!I:I)*('Material properties'!$G$24+('Material properties'!$H$18*_xlfn.XLOOKUP(B24,'Normal loads_1'!A:A,'Normal loads_1'!J:J)/Max_shearforce_1!L24/_xlfn.XLOOKUP(B24,'Pier geometry_1'!A:A,'Pier geometry_1'!I:I))))</f>
        <v/>
      </c>
      <c r="N24" t="str">
        <f t="shared" si="3"/>
        <v/>
      </c>
      <c r="O24" t="str">
        <f t="shared" si="4"/>
        <v/>
      </c>
      <c r="P24" t="str">
        <f t="shared" si="5"/>
        <v/>
      </c>
      <c r="Q24" t="str">
        <f t="shared" si="6"/>
        <v/>
      </c>
      <c r="R24" t="str">
        <f t="shared" si="7"/>
        <v/>
      </c>
    </row>
    <row r="25" spans="1:18" x14ac:dyDescent="0.3">
      <c r="A25" s="65">
        <v>18</v>
      </c>
      <c r="B25" s="65">
        <v>83</v>
      </c>
      <c r="C25" s="65">
        <v>75</v>
      </c>
      <c r="D25" s="57">
        <f>IF(B25="","",MAX(_xlfn.XLOOKUP(C25,'Pier geometry_1'!A:A,'Pier geometry_1'!G:G),_xlfn.XLOOKUP(B25,'Pier geometry_1'!A:A,'Pier geometry_1'!G:G))*1/2)</f>
        <v>1.7</v>
      </c>
      <c r="E25" s="54">
        <f ca="1">IF(D25="","",_xlfn.XLOOKUP(B25,'Normal loads_1'!A:A,'Normal loads_1'!J:J)/'Material properties'!$H$14/_xlfn.XLOOKUP(Max_shearforce_1!B25,'Pier geometry_1'!A:A,'Pier geometry_1'!H:H)/_xlfn.XLOOKUP(B25,'Pier geometry_1'!A:A,'Pier geometry_1'!I:I))</f>
        <v>0.10995428862176918</v>
      </c>
      <c r="F25" s="57">
        <f t="shared" ca="1" si="0"/>
        <v>0.85</v>
      </c>
      <c r="G25" s="53">
        <f ca="1">IF(F25="","",_xlfn.XLOOKUP(B25,'Pier geometry_1'!A:A,'Pier geometry_1'!H:H)*_xlfn.XLOOKUP(B25,'Normal loads_1'!A:A,'Normal loads_1'!J:J)*(1-(Max_shearforce_1!E25/Max_shearforce_1!F25))/(2*Max_shearforce_1!D25))</f>
        <v>197786.63825499607</v>
      </c>
      <c r="H25" s="57">
        <f t="shared" ca="1" si="1"/>
        <v>2.15</v>
      </c>
      <c r="I25" s="53">
        <f t="shared" ca="1" si="2"/>
        <v>91993.7852348819</v>
      </c>
      <c r="J25" s="53">
        <f ca="1">IF(D25="","",_xlfn.XLOOKUP(B25,'Normal loads_1'!A:A,'Normal loads_1'!J:J)/_xlfn.XLOOKUP(Max_shearforce_1!B25,'Pier geometry_1'!A:A,'Pier geometry_1'!H:H)/_xlfn.XLOOKUP(B25,'Pier geometry_1'!A:A,'Pier geometry_1'!I:I))</f>
        <v>140741.48943586455</v>
      </c>
      <c r="K25" s="53">
        <f ca="1">IF(J25="","",(J25*_xlfn.XLOOKUP(B25,'Pier geometry_1'!A:A,'Pier geometry_1'!H:H)^2*_xlfn.XLOOKUP(B25,'Pier geometry_1'!A:A,'Pier geometry_1'!I:I)/2)*(1-(J25/(0.85*'Material properties'!$H$14))))</f>
        <v>336237.28503349342</v>
      </c>
      <c r="L25" s="57">
        <f ca="1">IF(K25="","",3*_xlfn.XLOOKUP(B25,'Pier geometry_1'!A:A,'Pier geometry_1'!H:H)*(0.5-(K25/(_xlfn.XLOOKUP(B25,'Normal loads_1'!A:A,'Normal loads_1'!J:J)*_xlfn.XLOOKUP(B25,'Pier geometry_1'!A:A,'Pier geometry_1'!H:H)))))</f>
        <v>0.54330354377815226</v>
      </c>
      <c r="M25" s="53">
        <f ca="1">IF(K25="","",L25*_xlfn.XLOOKUP(B25,'Pier geometry_1'!A:A,'Pier geometry_1'!I:I)*('Material properties'!$G$24+('Material properties'!$H$18*_xlfn.XLOOKUP(B25,'Normal loads_1'!A:A,'Normal loads_1'!J:J)/Max_shearforce_1!L25/_xlfn.XLOOKUP(B25,'Pier geometry_1'!A:A,'Pier geometry_1'!I:I))))</f>
        <v>187367.28213095909</v>
      </c>
      <c r="N25" s="57">
        <f t="shared" ca="1" si="3"/>
        <v>1.65</v>
      </c>
      <c r="O25" s="53">
        <f t="shared" ca="1" si="4"/>
        <v>113555.92856421764</v>
      </c>
      <c r="P25" s="53">
        <f t="shared" ca="1" si="5"/>
        <v>91993.7852348819</v>
      </c>
      <c r="Q25" s="65" t="str">
        <f t="shared" ca="1" si="6"/>
        <v>Flexure</v>
      </c>
      <c r="R25" s="53">
        <f t="shared" ca="1" si="7"/>
        <v>73595.028187905526</v>
      </c>
    </row>
    <row r="26" spans="1:18" x14ac:dyDescent="0.3">
      <c r="A26" s="65">
        <v>19</v>
      </c>
      <c r="B26" s="65" t="s">
        <v>86</v>
      </c>
      <c r="C26" s="65" t="s">
        <v>85</v>
      </c>
      <c r="D26" s="57">
        <f>IF(B26="","",MAX(_xlfn.XLOOKUP(C26,'Pier geometry_1'!A:A,'Pier geometry_1'!G:G),_xlfn.XLOOKUP(B26,'Pier geometry_1'!A:A,'Pier geometry_1'!G:G))*1/2)</f>
        <v>1.7</v>
      </c>
      <c r="E26" s="54">
        <f ca="1">IF(D26="","",_xlfn.XLOOKUP(B26,'Normal loads_1'!A:A,'Normal loads_1'!J:J)/'Material properties'!$H$14/_xlfn.XLOOKUP(Max_shearforce_1!B26,'Pier geometry_1'!A:A,'Pier geometry_1'!H:H)/_xlfn.XLOOKUP(B26,'Pier geometry_1'!A:A,'Pier geometry_1'!I:I))</f>
        <v>0.12557988988680732</v>
      </c>
      <c r="F26" s="57">
        <f t="shared" ca="1" si="0"/>
        <v>0.85</v>
      </c>
      <c r="G26" s="53">
        <f ca="1">IF(F26="","",_xlfn.XLOOKUP(B26,'Pier geometry_1'!A:A,'Pier geometry_1'!H:H)*_xlfn.XLOOKUP(B26,'Normal loads_1'!A:A,'Normal loads_1'!J:J)*(1-(Max_shearforce_1!E26/Max_shearforce_1!F26))/(2*Max_shearforce_1!D26))</f>
        <v>1063304.1405851333</v>
      </c>
      <c r="H26" s="57">
        <f t="shared" ca="1" si="1"/>
        <v>2.15</v>
      </c>
      <c r="I26" s="53">
        <f t="shared" ca="1" si="2"/>
        <v>494560.06538843416</v>
      </c>
      <c r="J26" s="53">
        <f ca="1">IF(D26="","",_xlfn.XLOOKUP(B26,'Normal loads_1'!A:A,'Normal loads_1'!J:J)/_xlfn.XLOOKUP(Max_shearforce_1!B26,'Pier geometry_1'!A:A,'Pier geometry_1'!H:H)/_xlfn.XLOOKUP(B26,'Pier geometry_1'!A:A,'Pier geometry_1'!I:I))</f>
        <v>160742.25905511336</v>
      </c>
      <c r="K26" s="53">
        <f ca="1">IF(J26="","",(J26*_xlfn.XLOOKUP(B26,'Pier geometry_1'!A:A,'Pier geometry_1'!H:H)^2*_xlfn.XLOOKUP(B26,'Pier geometry_1'!A:A,'Pier geometry_1'!I:I)/2)*(1-(J26/(0.85*'Material properties'!$H$14))))</f>
        <v>1807617.0389947267</v>
      </c>
      <c r="L26" s="57">
        <f ca="1">IF(K26="","",3*_xlfn.XLOOKUP(B26,'Pier geometry_1'!A:A,'Pier geometry_1'!H:H)*(0.5-(K26/(_xlfn.XLOOKUP(B26,'Normal loads_1'!A:A,'Normal loads_1'!J:J)*_xlfn.XLOOKUP(B26,'Pier geometry_1'!A:A,'Pier geometry_1'!H:H)))))</f>
        <v>1.3606950421852892</v>
      </c>
      <c r="M26" s="53">
        <f ca="1">IF(K26="","",L26*_xlfn.XLOOKUP(B26,'Pier geometry_1'!A:A,'Pier geometry_1'!I:I)*('Material properties'!$G$24+('Material properties'!$H$18*_xlfn.XLOOKUP(B26,'Normal loads_1'!A:A,'Normal loads_1'!J:J)/Max_shearforce_1!L26/_xlfn.XLOOKUP(B26,'Pier geometry_1'!A:A,'Pier geometry_1'!I:I))))</f>
        <v>469258.36354829994</v>
      </c>
      <c r="N26" s="57">
        <f t="shared" ca="1" si="3"/>
        <v>1.65</v>
      </c>
      <c r="O26" s="53">
        <f t="shared" ca="1" si="4"/>
        <v>284399.00821109087</v>
      </c>
      <c r="P26" s="53">
        <f t="shared" ca="1" si="5"/>
        <v>284399.00821109087</v>
      </c>
      <c r="Q26" s="65" t="str">
        <f t="shared" ca="1" si="6"/>
        <v>Shear</v>
      </c>
      <c r="R26" s="53">
        <f t="shared" ca="1" si="7"/>
        <v>227519.2065688727</v>
      </c>
    </row>
    <row r="27" spans="1:18" x14ac:dyDescent="0.3">
      <c r="A27" s="65">
        <v>20</v>
      </c>
      <c r="B27" s="65">
        <v>86</v>
      </c>
      <c r="C27" s="65">
        <v>78</v>
      </c>
      <c r="D27" s="57">
        <f>IF(B27="","",MAX(_xlfn.XLOOKUP(C27,'Pier geometry_1'!A:A,'Pier geometry_1'!G:G),_xlfn.XLOOKUP(B27,'Pier geometry_1'!A:A,'Pier geometry_1'!G:G))*1/2)</f>
        <v>1.7</v>
      </c>
      <c r="E27" s="54">
        <f ca="1">IF(D27="","",_xlfn.XLOOKUP(B27,'Normal loads_1'!A:A,'Normal loads_1'!J:J)/'Material properties'!$H$14/_xlfn.XLOOKUP(Max_shearforce_1!B27,'Pier geometry_1'!A:A,'Pier geometry_1'!H:H)/_xlfn.XLOOKUP(B27,'Pier geometry_1'!A:A,'Pier geometry_1'!I:I))</f>
        <v>0.21446825542923428</v>
      </c>
      <c r="F27" s="57">
        <f t="shared" ca="1" si="0"/>
        <v>0.85</v>
      </c>
      <c r="G27" s="53">
        <f ca="1">IF(F27="","",_xlfn.XLOOKUP(B27,'Pier geometry_1'!A:A,'Pier geometry_1'!H:H)*_xlfn.XLOOKUP(B27,'Normal loads_1'!A:A,'Normal loads_1'!J:J)*(1-(Max_shearforce_1!E27/Max_shearforce_1!F27))/(2*Max_shearforce_1!D27))</f>
        <v>100219.41790233094</v>
      </c>
      <c r="H27" s="57">
        <f t="shared" ca="1" si="1"/>
        <v>2.15</v>
      </c>
      <c r="I27" s="53">
        <f t="shared" ca="1" si="2"/>
        <v>46613.682745270205</v>
      </c>
      <c r="J27" s="53">
        <f ca="1">IF(D27="","",_xlfn.XLOOKUP(B27,'Normal loads_1'!A:A,'Normal loads_1'!J:J)/_xlfn.XLOOKUP(Max_shearforce_1!B27,'Pier geometry_1'!A:A,'Pier geometry_1'!H:H)/_xlfn.XLOOKUP(B27,'Pier geometry_1'!A:A,'Pier geometry_1'!I:I))</f>
        <v>274519.3669494199</v>
      </c>
      <c r="K27" s="53">
        <f ca="1">IF(J27="","",(J27*_xlfn.XLOOKUP(B27,'Pier geometry_1'!A:A,'Pier geometry_1'!H:H)^2*_xlfn.XLOOKUP(B27,'Pier geometry_1'!A:A,'Pier geometry_1'!I:I)/2)*(1-(J27/(0.85*'Material properties'!$H$14))))</f>
        <v>170373.01043396257</v>
      </c>
      <c r="L27" s="57">
        <f ca="1">IF(K27="","",3*_xlfn.XLOOKUP(B27,'Pier geometry_1'!A:A,'Pier geometry_1'!H:H)*(0.5-(K27/(_xlfn.XLOOKUP(B27,'Normal loads_1'!A:A,'Normal loads_1'!J:J)*_xlfn.XLOOKUP(B27,'Pier geometry_1'!A:A,'Pier geometry_1'!H:H)))))</f>
        <v>0.58284902357827217</v>
      </c>
      <c r="M27" s="53">
        <f ca="1">IF(K27="","",L27*_xlfn.XLOOKUP(B27,'Pier geometry_1'!A:A,'Pier geometry_1'!I:I)*('Material properties'!$G$24+('Material properties'!$H$18*_xlfn.XLOOKUP(B27,'Normal loads_1'!A:A,'Normal loads_1'!J:J)/Max_shearforce_1!L27/_xlfn.XLOOKUP(B27,'Pier geometry_1'!A:A,'Pier geometry_1'!I:I))))</f>
        <v>201005.19993136008</v>
      </c>
      <c r="N27" s="57">
        <f t="shared" ca="1" si="3"/>
        <v>1.65</v>
      </c>
      <c r="O27" s="53">
        <f t="shared" ca="1" si="4"/>
        <v>121821.33329173339</v>
      </c>
      <c r="P27" s="53">
        <f t="shared" ca="1" si="5"/>
        <v>46613.682745270205</v>
      </c>
      <c r="Q27" s="65" t="str">
        <f t="shared" ca="1" si="6"/>
        <v>Flexure</v>
      </c>
      <c r="R27" s="53">
        <f t="shared" ca="1" si="7"/>
        <v>37290.946196216166</v>
      </c>
    </row>
    <row r="28" spans="1:18" x14ac:dyDescent="0.3">
      <c r="A28" s="65">
        <v>21</v>
      </c>
      <c r="B28" s="65">
        <v>87</v>
      </c>
      <c r="C28" s="65">
        <v>79</v>
      </c>
      <c r="D28" s="57">
        <f>IF(B28="","",MAX(_xlfn.XLOOKUP(C28,'Pier geometry_1'!A:A,'Pier geometry_1'!G:G),_xlfn.XLOOKUP(B28,'Pier geometry_1'!A:A,'Pier geometry_1'!G:G))*1/2)</f>
        <v>1.7</v>
      </c>
      <c r="E28" s="54">
        <f ca="1">IF(D28="","",_xlfn.XLOOKUP(B28,'Normal loads_1'!A:A,'Normal loads_1'!J:J)/'Material properties'!$H$14/_xlfn.XLOOKUP(Max_shearforce_1!B28,'Pier geometry_1'!A:A,'Pier geometry_1'!H:H)/_xlfn.XLOOKUP(B28,'Pier geometry_1'!A:A,'Pier geometry_1'!I:I))</f>
        <v>0.10879685157171699</v>
      </c>
      <c r="F28" s="57">
        <f t="shared" ca="1" si="0"/>
        <v>0.85</v>
      </c>
      <c r="G28" s="53">
        <f ca="1">IF(F28="","",_xlfn.XLOOKUP(B28,'Pier geometry_1'!A:A,'Pier geometry_1'!H:H)*_xlfn.XLOOKUP(B28,'Normal loads_1'!A:A,'Normal loads_1'!J:J)*(1-(Max_shearforce_1!E28/Max_shearforce_1!F28))/(2*Max_shearforce_1!D28))</f>
        <v>182259.96322519358</v>
      </c>
      <c r="H28" s="57">
        <f t="shared" ca="1" si="1"/>
        <v>2.15</v>
      </c>
      <c r="I28" s="53">
        <f t="shared" ca="1" si="2"/>
        <v>84772.075918694696</v>
      </c>
      <c r="J28" s="53">
        <f ca="1">IF(D28="","",_xlfn.XLOOKUP(B28,'Normal loads_1'!A:A,'Normal loads_1'!J:J)/_xlfn.XLOOKUP(Max_shearforce_1!B28,'Pier geometry_1'!A:A,'Pier geometry_1'!H:H)/_xlfn.XLOOKUP(B28,'Pier geometry_1'!A:A,'Pier geometry_1'!I:I))</f>
        <v>139259.97001179773</v>
      </c>
      <c r="K28" s="53">
        <f ca="1">IF(J28="","",(J28*_xlfn.XLOOKUP(B28,'Pier geometry_1'!A:A,'Pier geometry_1'!H:H)^2*_xlfn.XLOOKUP(B28,'Pier geometry_1'!A:A,'Pier geometry_1'!I:I)/2)*(1-(J28/(0.85*'Material properties'!$H$14))))</f>
        <v>309841.93748282909</v>
      </c>
      <c r="L28" s="57">
        <f ca="1">IF(K28="","",3*_xlfn.XLOOKUP(B28,'Pier geometry_1'!A:A,'Pier geometry_1'!H:H)*(0.5-(K28/(_xlfn.XLOOKUP(B28,'Normal loads_1'!A:A,'Normal loads_1'!J:J)*_xlfn.XLOOKUP(B28,'Pier geometry_1'!A:A,'Pier geometry_1'!H:H)))))</f>
        <v>0.51838499866524002</v>
      </c>
      <c r="M28" s="53">
        <f ca="1">IF(K28="","",L28*_xlfn.XLOOKUP(B28,'Pier geometry_1'!A:A,'Pier geometry_1'!I:I)*('Material properties'!$G$24+('Material properties'!$H$18*_xlfn.XLOOKUP(B28,'Normal loads_1'!A:A,'Normal loads_1'!J:J)/Max_shearforce_1!L28/_xlfn.XLOOKUP(B28,'Pier geometry_1'!A:A,'Pier geometry_1'!I:I))))</f>
        <v>178773.70653968572</v>
      </c>
      <c r="N28" s="57">
        <f t="shared" ca="1" si="3"/>
        <v>1.65</v>
      </c>
      <c r="O28" s="53">
        <f t="shared" ca="1" si="4"/>
        <v>108347.70093314287</v>
      </c>
      <c r="P28" s="53">
        <f t="shared" ca="1" si="5"/>
        <v>84772.075918694696</v>
      </c>
      <c r="Q28" s="65" t="str">
        <f t="shared" ca="1" si="6"/>
        <v>Flexure</v>
      </c>
      <c r="R28" s="53">
        <f t="shared" ca="1" si="7"/>
        <v>67817.66073495576</v>
      </c>
    </row>
    <row r="29" spans="1:18" x14ac:dyDescent="0.3">
      <c r="A29"/>
      <c r="B29"/>
      <c r="C29"/>
      <c r="D29" t="str">
        <f>IF(B29="","",MAX(_xlfn.XLOOKUP(C29,'Pier geometry_1'!A:A,'Pier geometry_1'!G:G),_xlfn.XLOOKUP(B29,'Pier geometry_1'!A:A,'Pier geometry_1'!G:G))*1/2)</f>
        <v/>
      </c>
      <c r="E29" t="str">
        <f>IF(D29="","",_xlfn.XLOOKUP(B29,'Normal loads_1'!A:A,'Normal loads_1'!J:J)/'Material properties'!$H$14/_xlfn.XLOOKUP(Max_shearforce_1!B29,'Pier geometry_1'!A:A,'Pier geometry_1'!H:H)/_xlfn.XLOOKUP(B29,'Pier geometry_1'!A:A,'Pier geometry_1'!I:I))</f>
        <v/>
      </c>
      <c r="F29" t="str">
        <f t="shared" si="0"/>
        <v/>
      </c>
      <c r="G29" t="str">
        <f>IF(F29="","",_xlfn.XLOOKUP(B29,'Pier geometry_1'!A:A,'Pier geometry_1'!H:H)*_xlfn.XLOOKUP(B29,'Normal loads_1'!A:A,'Normal loads_1'!J:J)*(1-(Max_shearforce_1!E29/Max_shearforce_1!F29))/(2*Max_shearforce_1!D29))</f>
        <v/>
      </c>
      <c r="H29" t="str">
        <f t="shared" si="1"/>
        <v/>
      </c>
      <c r="I29" t="str">
        <f t="shared" si="2"/>
        <v/>
      </c>
      <c r="J29" t="str">
        <f>IF(D29="","",_xlfn.XLOOKUP(B29,'Normal loads_1'!A:A,'Normal loads_1'!J:J)/_xlfn.XLOOKUP(Max_shearforce_1!B29,'Pier geometry_1'!A:A,'Pier geometry_1'!H:H)/_xlfn.XLOOKUP(B29,'Pier geometry_1'!A:A,'Pier geometry_1'!I:I))</f>
        <v/>
      </c>
      <c r="K29" t="str">
        <f>IF(J29="","",(J29*_xlfn.XLOOKUP(B29,'Pier geometry_1'!A:A,'Pier geometry_1'!H:H)^2*_xlfn.XLOOKUP(B29,'Pier geometry_1'!A:A,'Pier geometry_1'!I:I)/2)*(1-(J29/(0.85*'Material properties'!$H$14))))</f>
        <v/>
      </c>
      <c r="L29" t="str">
        <f>IF(K29="","",3*_xlfn.XLOOKUP(B29,'Pier geometry_1'!A:A,'Pier geometry_1'!H:H)*(0.5-(K29/(_xlfn.XLOOKUP(B29,'Normal loads_1'!A:A,'Normal loads_1'!J:J)*_xlfn.XLOOKUP(B29,'Pier geometry_1'!A:A,'Pier geometry_1'!H:H)))))</f>
        <v/>
      </c>
      <c r="M29" t="str">
        <f>IF(K29="","",L29*_xlfn.XLOOKUP(B29,'Pier geometry_1'!A:A,'Pier geometry_1'!I:I)*('Material properties'!$G$24+('Material properties'!$H$18*_xlfn.XLOOKUP(B29,'Normal loads_1'!A:A,'Normal loads_1'!J:J)/Max_shearforce_1!L29/_xlfn.XLOOKUP(B29,'Pier geometry_1'!A:A,'Pier geometry_1'!I:I))))</f>
        <v/>
      </c>
      <c r="N29" t="str">
        <f t="shared" si="3"/>
        <v/>
      </c>
      <c r="O29" t="str">
        <f t="shared" si="4"/>
        <v/>
      </c>
      <c r="P29" t="str">
        <f t="shared" si="5"/>
        <v/>
      </c>
      <c r="Q29" t="str">
        <f t="shared" si="6"/>
        <v/>
      </c>
      <c r="R29" t="str">
        <f t="shared" si="7"/>
        <v/>
      </c>
    </row>
    <row r="30" spans="1:18" x14ac:dyDescent="0.3">
      <c r="A30" s="46" t="s">
        <v>43</v>
      </c>
      <c r="B30"/>
      <c r="C30"/>
      <c r="D30" t="str">
        <f>IF(B30="","",MAX(_xlfn.XLOOKUP(C30,'Pier geometry_1'!A:A,'Pier geometry_1'!G:G),_xlfn.XLOOKUP(B30,'Pier geometry_1'!A:A,'Pier geometry_1'!G:G))*1/2)</f>
        <v/>
      </c>
      <c r="E30" t="str">
        <f>IF(D30="","",_xlfn.XLOOKUP(B30,'Normal loads_1'!A:A,'Normal loads_1'!J:J)/'Material properties'!$H$14/_xlfn.XLOOKUP(Max_shearforce_1!B30,'Pier geometry_1'!A:A,'Pier geometry_1'!H:H)/_xlfn.XLOOKUP(B30,'Pier geometry_1'!A:A,'Pier geometry_1'!I:I))</f>
        <v/>
      </c>
      <c r="F30" t="str">
        <f t="shared" si="0"/>
        <v/>
      </c>
      <c r="G30" t="str">
        <f>IF(F30="","",_xlfn.XLOOKUP(B30,'Pier geometry_1'!A:A,'Pier geometry_1'!H:H)*_xlfn.XLOOKUP(B30,'Normal loads_1'!A:A,'Normal loads_1'!J:J)*(1-(Max_shearforce_1!E30/Max_shearforce_1!F30))/(2*Max_shearforce_1!D30))</f>
        <v/>
      </c>
      <c r="H30" t="str">
        <f t="shared" si="1"/>
        <v/>
      </c>
      <c r="I30" t="str">
        <f t="shared" si="2"/>
        <v/>
      </c>
      <c r="J30" t="str">
        <f>IF(D30="","",_xlfn.XLOOKUP(B30,'Normal loads_1'!A:A,'Normal loads_1'!J:J)/_xlfn.XLOOKUP(Max_shearforce_1!B30,'Pier geometry_1'!A:A,'Pier geometry_1'!H:H)/_xlfn.XLOOKUP(B30,'Pier geometry_1'!A:A,'Pier geometry_1'!I:I))</f>
        <v/>
      </c>
      <c r="K30" t="str">
        <f>IF(J30="","",(J30*_xlfn.XLOOKUP(B30,'Pier geometry_1'!A:A,'Pier geometry_1'!H:H)^2*_xlfn.XLOOKUP(B30,'Pier geometry_1'!A:A,'Pier geometry_1'!I:I)/2)*(1-(J30/(0.85*'Material properties'!$H$14))))</f>
        <v/>
      </c>
      <c r="L30" t="str">
        <f>IF(K30="","",3*_xlfn.XLOOKUP(B30,'Pier geometry_1'!A:A,'Pier geometry_1'!H:H)*(0.5-(K30/(_xlfn.XLOOKUP(B30,'Normal loads_1'!A:A,'Normal loads_1'!J:J)*_xlfn.XLOOKUP(B30,'Pier geometry_1'!A:A,'Pier geometry_1'!H:H)))))</f>
        <v/>
      </c>
      <c r="M30" t="str">
        <f>IF(K30="","",L30*_xlfn.XLOOKUP(B30,'Pier geometry_1'!A:A,'Pier geometry_1'!I:I)*('Material properties'!$G$24+('Material properties'!$H$18*_xlfn.XLOOKUP(B30,'Normal loads_1'!A:A,'Normal loads_1'!J:J)/Max_shearforce_1!L30/_xlfn.XLOOKUP(B30,'Pier geometry_1'!A:A,'Pier geometry_1'!I:I))))</f>
        <v/>
      </c>
      <c r="N30" t="str">
        <f t="shared" si="3"/>
        <v/>
      </c>
      <c r="O30" t="str">
        <f t="shared" si="4"/>
        <v/>
      </c>
      <c r="P30" t="str">
        <f t="shared" si="5"/>
        <v/>
      </c>
      <c r="Q30" t="str">
        <f t="shared" si="6"/>
        <v/>
      </c>
      <c r="R30" t="str">
        <f t="shared" si="7"/>
        <v/>
      </c>
    </row>
    <row r="31" spans="1:18" x14ac:dyDescent="0.3">
      <c r="A31" s="65">
        <v>29</v>
      </c>
      <c r="B31" s="65">
        <v>116</v>
      </c>
      <c r="C31" s="65">
        <v>113</v>
      </c>
      <c r="D31" s="57">
        <f>IF(B31="","",MAX(_xlfn.XLOOKUP(C31,'Pier geometry_1'!A:A,'Pier geometry_1'!G:G),_xlfn.XLOOKUP(B31,'Pier geometry_1'!A:A,'Pier geometry_1'!G:G))*1/2)</f>
        <v>1.7</v>
      </c>
      <c r="E31" s="54">
        <f ca="1">IF(D31="","",_xlfn.XLOOKUP(B31,'Normal loads_1'!A:A,'Normal loads_1'!J:J)/'Material properties'!$H$14/_xlfn.XLOOKUP(Max_shearforce_1!B31,'Pier geometry_1'!A:A,'Pier geometry_1'!H:H)/_xlfn.XLOOKUP(B31,'Pier geometry_1'!A:A,'Pier geometry_1'!I:I))</f>
        <v>0.19930700147656372</v>
      </c>
      <c r="F31" s="57">
        <f t="shared" ca="1" si="0"/>
        <v>0.85</v>
      </c>
      <c r="G31" s="53">
        <f ca="1">IF(F31="","",_xlfn.XLOOKUP(B31,'Pier geometry_1'!A:A,'Pier geometry_1'!H:H)*_xlfn.XLOOKUP(B31,'Normal loads_1'!A:A,'Normal loads_1'!J:J)*(1-(Max_shearforce_1!E31/Max_shearforce_1!F31))/(2*Max_shearforce_1!D31))</f>
        <v>11258.146281779393</v>
      </c>
      <c r="H31" s="57">
        <f t="shared" ca="1" si="1"/>
        <v>2.15</v>
      </c>
      <c r="I31" s="53">
        <f t="shared" ca="1" si="2"/>
        <v>5236.3471078043685</v>
      </c>
      <c r="J31" s="53">
        <f ca="1">IF(D31="","",_xlfn.XLOOKUP(B31,'Normal loads_1'!A:A,'Normal loads_1'!J:J)/_xlfn.XLOOKUP(Max_shearforce_1!B31,'Pier geometry_1'!A:A,'Pier geometry_1'!H:H)/_xlfn.XLOOKUP(B31,'Pier geometry_1'!A:A,'Pier geometry_1'!I:I))</f>
        <v>255112.96189000152</v>
      </c>
      <c r="K31" s="53">
        <f ca="1">IF(J31="","",(J31*_xlfn.XLOOKUP(B31,'Pier geometry_1'!A:A,'Pier geometry_1'!H:H)^2*_xlfn.XLOOKUP(B31,'Pier geometry_1'!A:A,'Pier geometry_1'!I:I)/2)*(1-(J31/(0.85*'Material properties'!$H$14))))</f>
        <v>19138.848679024966</v>
      </c>
      <c r="L31" s="57">
        <f ca="1">IF(K31="","",3*_xlfn.XLOOKUP(B31,'Pier geometry_1'!A:A,'Pier geometry_1'!H:H)*(0.5-(K31/(_xlfn.XLOOKUP(B31,'Normal loads_1'!A:A,'Normal loads_1'!J:J)*_xlfn.XLOOKUP(B31,'Pier geometry_1'!A:A,'Pier geometry_1'!H:H)))))</f>
        <v>0.24620276652987275</v>
      </c>
      <c r="M31" s="53">
        <f ca="1">IF(K31="","",L31*_xlfn.XLOOKUP(B31,'Pier geometry_1'!A:A,'Pier geometry_1'!I:I)*('Material properties'!$G$24+('Material properties'!$H$18*_xlfn.XLOOKUP(B31,'Normal loads_1'!A:A,'Normal loads_1'!J:J)/Max_shearforce_1!L31/_xlfn.XLOOKUP(B31,'Pier geometry_1'!A:A,'Pier geometry_1'!I:I))))</f>
        <v>48518.358524153591</v>
      </c>
      <c r="N31" s="57">
        <f t="shared" ca="1" si="3"/>
        <v>1.65</v>
      </c>
      <c r="O31" s="53">
        <f t="shared" ca="1" si="4"/>
        <v>29405.065772214301</v>
      </c>
      <c r="P31" s="53">
        <f t="shared" ca="1" si="5"/>
        <v>5236.3471078043685</v>
      </c>
      <c r="Q31" s="65" t="str">
        <f t="shared" ca="1" si="6"/>
        <v>Flexure</v>
      </c>
      <c r="R31" s="53">
        <f t="shared" ca="1" si="7"/>
        <v>4189.077686243495</v>
      </c>
    </row>
    <row r="32" spans="1:18" x14ac:dyDescent="0.3">
      <c r="A32" s="65">
        <v>30</v>
      </c>
      <c r="B32" s="65">
        <v>117</v>
      </c>
      <c r="C32" s="65">
        <v>114</v>
      </c>
      <c r="D32" s="57">
        <f>IF(B32="","",MAX(_xlfn.XLOOKUP(C32,'Pier geometry_1'!A:A,'Pier geometry_1'!G:G),_xlfn.XLOOKUP(B32,'Pier geometry_1'!A:A,'Pier geometry_1'!G:G))*1/2)</f>
        <v>1.7</v>
      </c>
      <c r="E32" s="54">
        <f ca="1">IF(D32="","",_xlfn.XLOOKUP(B32,'Normal loads_1'!A:A,'Normal loads_1'!J:J)/'Material properties'!$H$14/_xlfn.XLOOKUP(Max_shearforce_1!B32,'Pier geometry_1'!A:A,'Pier geometry_1'!H:H)/_xlfn.XLOOKUP(B32,'Pier geometry_1'!A:A,'Pier geometry_1'!I:I))</f>
        <v>0.10529875619005952</v>
      </c>
      <c r="F32" s="57">
        <f t="shared" ca="1" si="0"/>
        <v>0.85</v>
      </c>
      <c r="G32" s="53">
        <f ca="1">IF(F32="","",_xlfn.XLOOKUP(B32,'Pier geometry_1'!A:A,'Pier geometry_1'!H:H)*_xlfn.XLOOKUP(B32,'Normal loads_1'!A:A,'Normal loads_1'!J:J)*(1-(Max_shearforce_1!E32/Max_shearforce_1!F32))/(2*Max_shearforce_1!D32))</f>
        <v>168242.58268392229</v>
      </c>
      <c r="H32" s="57">
        <f t="shared" ca="1" si="1"/>
        <v>2.15</v>
      </c>
      <c r="I32" s="53">
        <f t="shared" ca="1" si="2"/>
        <v>78252.364039033622</v>
      </c>
      <c r="J32" s="53">
        <f ca="1">IF(D32="","",_xlfn.XLOOKUP(B32,'Normal loads_1'!A:A,'Normal loads_1'!J:J)/_xlfn.XLOOKUP(Max_shearforce_1!B32,'Pier geometry_1'!A:A,'Pier geometry_1'!H:H)/_xlfn.XLOOKUP(B32,'Pier geometry_1'!A:A,'Pier geometry_1'!I:I))</f>
        <v>134782.40792327619</v>
      </c>
      <c r="K32" s="53">
        <f ca="1">IF(J32="","",(J32*_xlfn.XLOOKUP(B32,'Pier geometry_1'!A:A,'Pier geometry_1'!H:H)^2*_xlfn.XLOOKUP(B32,'Pier geometry_1'!A:A,'Pier geometry_1'!I:I)/2)*(1-(J32/(0.85*'Material properties'!$H$14))))</f>
        <v>286012.39056266786</v>
      </c>
      <c r="L32" s="57">
        <f ca="1">IF(K32="","",3*_xlfn.XLOOKUP(B32,'Pier geometry_1'!A:A,'Pier geometry_1'!H:H)*(0.5-(K32/(_xlfn.XLOOKUP(B32,'Normal loads_1'!A:A,'Normal loads_1'!J:J)*_xlfn.XLOOKUP(B32,'Pier geometry_1'!A:A,'Pier geometry_1'!H:H)))))</f>
        <v>0.64665824389660076</v>
      </c>
      <c r="M32" s="53">
        <f ca="1">IF(K32="","",L32*_xlfn.XLOOKUP(B32,'Pier geometry_1'!A:A,'Pier geometry_1'!I:I)*('Material properties'!$G$24+('Material properties'!$H$18*_xlfn.XLOOKUP(B32,'Normal loads_1'!A:A,'Normal loads_1'!J:J)/Max_shearforce_1!L32/_xlfn.XLOOKUP(B32,'Pier geometry_1'!A:A,'Pier geometry_1'!I:I))))</f>
        <v>127434.78459722346</v>
      </c>
      <c r="N32" s="57">
        <f t="shared" ca="1" si="3"/>
        <v>1.65</v>
      </c>
      <c r="O32" s="53">
        <f t="shared" ca="1" si="4"/>
        <v>77233.202786196038</v>
      </c>
      <c r="P32" s="53">
        <f t="shared" ca="1" si="5"/>
        <v>77233.202786196038</v>
      </c>
      <c r="Q32" s="65" t="str">
        <f t="shared" ca="1" si="6"/>
        <v>Shear</v>
      </c>
      <c r="R32" s="53">
        <f t="shared" ca="1" si="7"/>
        <v>61786.562228956835</v>
      </c>
    </row>
    <row r="33" spans="1:18" x14ac:dyDescent="0.3">
      <c r="A33" s="10"/>
      <c r="B33" s="10"/>
      <c r="C33" s="10"/>
      <c r="D33" s="1"/>
      <c r="E33" s="2"/>
      <c r="F33" s="1"/>
      <c r="G33" s="10"/>
      <c r="H33" s="1"/>
      <c r="I33" s="10"/>
      <c r="J33" s="1"/>
      <c r="K33" s="1"/>
      <c r="L33" s="10"/>
      <c r="O33" s="10"/>
      <c r="P33" s="10"/>
      <c r="R33" s="10"/>
    </row>
    <row r="34" spans="1:18" x14ac:dyDescent="0.3">
      <c r="F34" s="2"/>
      <c r="G34" s="2"/>
      <c r="H34" s="2"/>
    </row>
    <row r="35" spans="1:18" x14ac:dyDescent="0.3">
      <c r="F35" s="2"/>
      <c r="G35" s="2"/>
      <c r="H35" s="2"/>
    </row>
    <row r="36" spans="1:18" x14ac:dyDescent="0.3">
      <c r="F36" s="2"/>
      <c r="G36" s="2"/>
      <c r="H36" s="2"/>
    </row>
    <row r="37" spans="1:18" x14ac:dyDescent="0.3">
      <c r="F37" s="2"/>
      <c r="G37" s="2"/>
      <c r="H37" s="2"/>
    </row>
    <row r="38" spans="1:18" x14ac:dyDescent="0.3">
      <c r="F38" s="2"/>
      <c r="G38" s="2"/>
      <c r="H38" s="2"/>
    </row>
    <row r="39" spans="1:18" x14ac:dyDescent="0.3">
      <c r="F39" s="2"/>
      <c r="G39" s="2"/>
      <c r="H39" s="2"/>
    </row>
    <row r="40" spans="1:18" x14ac:dyDescent="0.3">
      <c r="F40" s="2"/>
      <c r="G40" s="2"/>
      <c r="H40" s="2"/>
    </row>
    <row r="41" spans="1:18" x14ac:dyDescent="0.3">
      <c r="F41" s="2"/>
      <c r="G41" s="2"/>
      <c r="H41" s="2"/>
    </row>
    <row r="42" spans="1:18" x14ac:dyDescent="0.3">
      <c r="F42" s="2"/>
      <c r="G42" s="2"/>
      <c r="H42" s="2"/>
    </row>
    <row r="43" spans="1:18" x14ac:dyDescent="0.3">
      <c r="F43" s="2"/>
      <c r="G43" s="2"/>
      <c r="H43" s="2"/>
    </row>
    <row r="44" spans="1:18" x14ac:dyDescent="0.3">
      <c r="F44" s="2"/>
      <c r="G44" s="2"/>
      <c r="H44" s="2"/>
    </row>
    <row r="45" spans="1:18" x14ac:dyDescent="0.3">
      <c r="F45" s="2"/>
      <c r="G45" s="2"/>
      <c r="H45" s="2"/>
    </row>
    <row r="46" spans="1:18" x14ac:dyDescent="0.3">
      <c r="F46" s="2"/>
      <c r="G46" s="2"/>
      <c r="H46" s="2"/>
    </row>
    <row r="47" spans="1:18" x14ac:dyDescent="0.3">
      <c r="F47" s="2"/>
      <c r="G47" s="2"/>
      <c r="H47" s="2"/>
    </row>
    <row r="48" spans="1:18" x14ac:dyDescent="0.3">
      <c r="F48" s="2"/>
      <c r="G48" s="2"/>
      <c r="H48" s="2"/>
    </row>
    <row r="49" spans="6:8" x14ac:dyDescent="0.3">
      <c r="F49" s="2"/>
      <c r="G49" s="2"/>
      <c r="H49" s="2"/>
    </row>
    <row r="50" spans="6:8" x14ac:dyDescent="0.3">
      <c r="F50" s="2"/>
      <c r="G50" s="2"/>
      <c r="H50" s="2"/>
    </row>
  </sheetData>
  <mergeCells count="1">
    <mergeCell ref="B4:D4"/>
  </mergeCells>
  <pageMargins left="0.7" right="0.7" top="0.78740157499999996" bottom="0.78740157499999996" header="0.3" footer="0.3"/>
  <pageSetup paperSize="9" orientation="landscape" r:id="rId1"/>
  <headerFooter>
    <oddHeader>&amp;LMaster Thesis 2023/2024&amp;CSt. Lawrence Parish House,
Petrinja, Croatia&amp;R&amp;G</oddHeader>
    <oddFooter>&amp;L&amp;A&amp;CModel: Initial and Retrofitted State&amp;R&amp;P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AB55-53FF-41E6-85EC-A0521C4FB04B}">
  <sheetPr codeName="Tabelle7">
    <tabColor theme="4"/>
  </sheetPr>
  <dimension ref="A1:AA67"/>
  <sheetViews>
    <sheetView tabSelected="1" view="pageLayout" topLeftCell="A3" zoomScale="85" zoomScaleNormal="100" zoomScalePageLayoutView="85" workbookViewId="0">
      <selection activeCell="N32" sqref="N32:N33"/>
    </sheetView>
  </sheetViews>
  <sheetFormatPr baseColWidth="10" defaultColWidth="8.6640625" defaultRowHeight="14" x14ac:dyDescent="0.3"/>
  <cols>
    <col min="1" max="1" width="8.1640625" style="9" bestFit="1" customWidth="1"/>
    <col min="2" max="3" width="5.08203125" style="9" customWidth="1"/>
    <col min="4" max="4" width="5.4140625" style="9" bestFit="1" customWidth="1"/>
    <col min="5" max="5" width="6.08203125" style="9" bestFit="1" customWidth="1"/>
    <col min="6" max="6" width="4.83203125" bestFit="1" customWidth="1"/>
    <col min="7" max="7" width="7.6640625" bestFit="1" customWidth="1"/>
    <col min="8" max="8" width="4.4140625" bestFit="1" customWidth="1"/>
    <col min="9" max="9" width="7.25" bestFit="1" customWidth="1"/>
    <col min="10" max="10" width="7.6640625" bestFit="1" customWidth="1"/>
    <col min="11" max="11" width="8.25" bestFit="1" customWidth="1"/>
    <col min="12" max="12" width="4.83203125" bestFit="1" customWidth="1"/>
    <col min="13" max="13" width="7.6640625" bestFit="1" customWidth="1"/>
    <col min="14" max="14" width="4.4140625" bestFit="1" customWidth="1"/>
    <col min="15" max="16" width="7.25" bestFit="1" customWidth="1"/>
    <col min="17" max="17" width="7.6640625" bestFit="1" customWidth="1"/>
    <col min="18" max="18" width="7.25" bestFit="1" customWidth="1"/>
    <col min="19" max="19" width="7.08203125" bestFit="1" customWidth="1"/>
    <col min="20" max="20" width="7.5" bestFit="1" customWidth="1"/>
    <col min="21" max="27" width="14.33203125" customWidth="1"/>
    <col min="28" max="28" width="11.75" customWidth="1"/>
  </cols>
  <sheetData>
    <row r="1" spans="1:27" ht="18" x14ac:dyDescent="0.4">
      <c r="A1" s="41" t="s">
        <v>133</v>
      </c>
      <c r="B1" s="41"/>
      <c r="C1" s="41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T1" s="3"/>
      <c r="U1" s="3"/>
      <c r="V1" s="3"/>
      <c r="W1" s="3"/>
      <c r="X1" s="3"/>
      <c r="Y1" s="3"/>
      <c r="Z1" s="3"/>
      <c r="AA1" s="3"/>
    </row>
    <row r="2" spans="1:27" s="4" customFormat="1" x14ac:dyDescent="0.3"/>
    <row r="3" spans="1:27" s="4" customFormat="1" x14ac:dyDescent="0.3">
      <c r="A3" s="91" t="s">
        <v>166</v>
      </c>
      <c r="B3" s="4" t="s">
        <v>167</v>
      </c>
    </row>
    <row r="4" spans="1:27" s="4" customFormat="1" x14ac:dyDescent="0.3">
      <c r="A4" s="91" t="s">
        <v>2</v>
      </c>
      <c r="B4" s="93">
        <f ca="1">TODAY()</f>
        <v>45308</v>
      </c>
      <c r="C4" s="93"/>
      <c r="D4" s="93"/>
      <c r="G4" s="5"/>
    </row>
    <row r="5" spans="1:27" s="4" customFormat="1" x14ac:dyDescent="0.3">
      <c r="A5" s="91" t="s">
        <v>3</v>
      </c>
      <c r="B5" s="4" t="s">
        <v>129</v>
      </c>
    </row>
    <row r="6" spans="1:27" s="4" customFormat="1" x14ac:dyDescent="0.3"/>
    <row r="7" spans="1:27" ht="28.5" thickBot="1" x14ac:dyDescent="0.35">
      <c r="A7" s="63" t="s">
        <v>147</v>
      </c>
      <c r="B7" s="63" t="s">
        <v>148</v>
      </c>
      <c r="C7" s="63" t="s">
        <v>149</v>
      </c>
      <c r="D7" s="32" t="s">
        <v>87</v>
      </c>
      <c r="E7" s="32"/>
      <c r="F7" s="32"/>
      <c r="G7" s="32"/>
      <c r="H7" s="32"/>
      <c r="I7" s="32"/>
      <c r="J7" s="32" t="s">
        <v>104</v>
      </c>
      <c r="K7" s="32"/>
      <c r="L7" s="32"/>
      <c r="M7" s="32"/>
      <c r="N7" s="32"/>
      <c r="O7" s="32"/>
      <c r="P7" s="32" t="s">
        <v>165</v>
      </c>
      <c r="Q7" s="32" t="s">
        <v>114</v>
      </c>
      <c r="R7" s="32" t="s">
        <v>115</v>
      </c>
    </row>
    <row r="8" spans="1:27" ht="17" x14ac:dyDescent="0.45">
      <c r="A8" s="26"/>
      <c r="B8" s="46"/>
      <c r="C8" s="44"/>
      <c r="D8" s="27" t="s">
        <v>98</v>
      </c>
      <c r="E8" s="34" t="s">
        <v>20</v>
      </c>
      <c r="F8" s="35" t="s">
        <v>99</v>
      </c>
      <c r="G8" s="27" t="s">
        <v>100</v>
      </c>
      <c r="H8" s="35" t="s">
        <v>102</v>
      </c>
      <c r="I8" s="27" t="s">
        <v>103</v>
      </c>
      <c r="J8" s="73" t="s">
        <v>141</v>
      </c>
      <c r="K8" s="38" t="s">
        <v>143</v>
      </c>
      <c r="L8" s="38" t="s">
        <v>145</v>
      </c>
      <c r="M8" s="38" t="s">
        <v>106</v>
      </c>
      <c r="N8" s="35" t="s">
        <v>102</v>
      </c>
      <c r="O8" s="38" t="s">
        <v>105</v>
      </c>
      <c r="P8" s="38" t="s">
        <v>107</v>
      </c>
      <c r="R8" s="38" t="s">
        <v>116</v>
      </c>
    </row>
    <row r="9" spans="1:27" ht="16" x14ac:dyDescent="0.3">
      <c r="A9" s="37" t="s">
        <v>37</v>
      </c>
      <c r="B9" s="46"/>
      <c r="C9" s="46"/>
      <c r="D9" s="37" t="s">
        <v>84</v>
      </c>
      <c r="E9" s="37" t="s">
        <v>101</v>
      </c>
      <c r="F9" s="37" t="s">
        <v>101</v>
      </c>
      <c r="G9" s="37" t="s">
        <v>89</v>
      </c>
      <c r="H9" s="37" t="s">
        <v>101</v>
      </c>
      <c r="I9" s="45" t="s">
        <v>89</v>
      </c>
      <c r="J9" s="45" t="s">
        <v>142</v>
      </c>
      <c r="K9" s="45" t="s">
        <v>144</v>
      </c>
      <c r="L9" s="45" t="s">
        <v>84</v>
      </c>
      <c r="M9" s="45" t="s">
        <v>89</v>
      </c>
      <c r="N9" s="45" t="s">
        <v>101</v>
      </c>
      <c r="O9" s="45" t="s">
        <v>89</v>
      </c>
      <c r="P9" s="45" t="s">
        <v>89</v>
      </c>
      <c r="Q9" s="44"/>
      <c r="R9" s="45" t="s">
        <v>89</v>
      </c>
    </row>
    <row r="10" spans="1:27" x14ac:dyDescent="0.3">
      <c r="A10" s="65">
        <v>7</v>
      </c>
      <c r="B10" s="65">
        <v>34</v>
      </c>
      <c r="C10" s="65">
        <v>28</v>
      </c>
      <c r="D10" s="57">
        <f>IF(B10="","",(_xlfn.XLOOKUP(C10,'Pier geometry_2'!A:A,'Pier geometry_2'!D:D)+_xlfn.XLOOKUP(B10,'Pier geometry_2'!A:A,'Pier geometry_2'!D:D))*2/3)</f>
        <v>2.6</v>
      </c>
      <c r="E10" s="54">
        <f ca="1">IF(D10="","",_xlfn.XLOOKUP(B10,'Normal loads_2'!A:A,'Normal loads_2'!J:J)/'Material properties'!$H$14/_xlfn.XLOOKUP(Max_shearforce_2!B10,'Pier geometry_2'!A:A,'Pier geometry_2'!H:H)/_xlfn.XLOOKUP(B10,'Pier geometry_2'!A:A,'Pier geometry_2'!I:I))</f>
        <v>0.10603474818752935</v>
      </c>
      <c r="F10" s="57">
        <f ca="1">IF(E10="","",0.85)</f>
        <v>0.85</v>
      </c>
      <c r="G10" s="53">
        <f ca="1">IF(F10="","",_xlfn.XLOOKUP(B10,'Pier geometry_2'!A:A,'Pier geometry_2'!H:H)*_xlfn.XLOOKUP(B10,'Normal loads_2'!A:A,'Normal loads_2'!J:J)*(1-(Max_shearforce_2!E10/Max_shearforce_2!F10))/(2*Max_shearforce_2!D10))</f>
        <v>83129.715694474289</v>
      </c>
      <c r="H10" s="57">
        <f ca="1">IF(G10="","",2.15)</f>
        <v>2.15</v>
      </c>
      <c r="I10" s="53">
        <f ca="1">IF(G10="","",G10/H10)</f>
        <v>38664.984043941535</v>
      </c>
      <c r="J10" s="53">
        <f ca="1">IF(D10="","",_xlfn.XLOOKUP(B10,'Normal loads_2'!A:A,'Normal loads_2'!J:J)/_xlfn.XLOOKUP(Max_shearforce_2!B10,'Pier geometry_2'!A:A,'Pier geometry_2'!H:H)/_xlfn.XLOOKUP(B10,'Pier geometry_2'!A:A,'Pier geometry_2'!I:I))</f>
        <v>135724.47768003758</v>
      </c>
      <c r="K10" s="53">
        <f ca="1">IF(J10="","",(J10*_xlfn.XLOOKUP(B10,'Pier geometry_2'!A:A,'Pier geometry_2'!H:H)^2*_xlfn.XLOOKUP(B10,'Pier geometry_2'!A:A,'Pier geometry_2'!I:I)/2)*(1-(J10/(0.85*'Material properties'!$H$14))))</f>
        <v>216137.26080563321</v>
      </c>
      <c r="L10" s="57">
        <f ca="1">IF(K10="","",3*_xlfn.XLOOKUP(B10,'Pier geometry_2'!A:A,'Pier geometry_2'!H:H)*(0.5-(K10/(_xlfn.XLOOKUP(B10,'Normal loads_2'!A:A,'Normal loads_2'!J:J)*_xlfn.XLOOKUP(B10,'Pier geometry_2'!A:A,'Pier geometry_2'!H:H)))))</f>
        <v>0.42663392800158806</v>
      </c>
      <c r="M10" s="53">
        <f ca="1">IF(K10="","",L10*_xlfn.XLOOKUP(B10,'Pier geometry_2'!A:A,'Pier geometry_2'!I:I)*('Material properties'!$G$24+('Material properties'!$H$18*_xlfn.XLOOKUP(B10,'Normal loads_2'!A:A,'Normal loads_2'!J:J)/Max_shearforce_2!L10/_xlfn.XLOOKUP(B10,'Pier geometry_2'!A:A,'Pier geometry_2'!I:I))))</f>
        <v>147131.82063681446</v>
      </c>
      <c r="N10" s="57">
        <f ca="1">IF(M10="","",1.65)</f>
        <v>1.65</v>
      </c>
      <c r="O10" s="53">
        <f ca="1">IF(M10="","",M10/N10)</f>
        <v>89170.800385948169</v>
      </c>
      <c r="P10" s="53">
        <f ca="1">IF(O10="","",MIN(I10,O10))</f>
        <v>38664.984043941535</v>
      </c>
      <c r="Q10" s="65" t="str">
        <f ca="1">IF(P10="","",IF(P10=I10,"Flexure","Shear"))</f>
        <v>Flexure</v>
      </c>
      <c r="R10" s="53">
        <f ca="1">IF(P10="","",P10*0.8)</f>
        <v>30931.987235153229</v>
      </c>
    </row>
    <row r="11" spans="1:27" x14ac:dyDescent="0.3">
      <c r="A11" s="65">
        <v>8</v>
      </c>
      <c r="B11" s="65">
        <v>35</v>
      </c>
      <c r="C11" s="65">
        <v>29</v>
      </c>
      <c r="D11" s="57">
        <f>IF(B11="","",(_xlfn.XLOOKUP(C11,'Pier geometry_2'!A:A,'Pier geometry_2'!D:D)+_xlfn.XLOOKUP(B11,'Pier geometry_2'!A:A,'Pier geometry_2'!D:D))*2/3)</f>
        <v>2.6</v>
      </c>
      <c r="E11" s="54">
        <f ca="1">IF(D11="","",_xlfn.XLOOKUP(B11,'Normal loads_2'!A:A,'Normal loads_2'!J:J)/'Material properties'!$H$14/_xlfn.XLOOKUP(Max_shearforce_2!B11,'Pier geometry_2'!A:A,'Pier geometry_2'!H:H)/_xlfn.XLOOKUP(B11,'Pier geometry_2'!A:A,'Pier geometry_2'!I:I))</f>
        <v>9.5231132261560422E-2</v>
      </c>
      <c r="F11" s="57">
        <f t="shared" ref="F11:F31" ca="1" si="0">IF(E11="","",0.85)</f>
        <v>0.85</v>
      </c>
      <c r="G11" s="53">
        <f ca="1">IF(F11="","",_xlfn.XLOOKUP(B11,'Pier geometry_2'!A:A,'Pier geometry_2'!H:H)*_xlfn.XLOOKUP(B11,'Normal loads_2'!A:A,'Normal loads_2'!J:J)*(1-(Max_shearforce_2!E11/Max_shearforce_2!F11))/(2*Max_shearforce_2!D11))</f>
        <v>269411.1574779306</v>
      </c>
      <c r="H11" s="57">
        <f t="shared" ref="H11:H31" ca="1" si="1">IF(G11="","",2.15)</f>
        <v>2.15</v>
      </c>
      <c r="I11" s="53">
        <f t="shared" ref="I11:I31" ca="1" si="2">IF(G11="","",G11/H11)</f>
        <v>125307.51510601424</v>
      </c>
      <c r="J11" s="53">
        <f ca="1">IF(D11="","",_xlfn.XLOOKUP(B11,'Normal loads_2'!A:A,'Normal loads_2'!J:J)/_xlfn.XLOOKUP(Max_shearforce_2!B11,'Pier geometry_2'!A:A,'Pier geometry_2'!H:H)/_xlfn.XLOOKUP(B11,'Pier geometry_2'!A:A,'Pier geometry_2'!I:I))</f>
        <v>121895.84929479734</v>
      </c>
      <c r="K11" s="53">
        <f ca="1">IF(J11="","",(J11*_xlfn.XLOOKUP(B11,'Pier geometry_2'!A:A,'Pier geometry_2'!H:H)^2*_xlfn.XLOOKUP(B11,'Pier geometry_2'!A:A,'Pier geometry_2'!I:I)/2)*(1-(J11/(0.85*'Material properties'!$H$14))))</f>
        <v>700469.00944261951</v>
      </c>
      <c r="L11" s="57">
        <f ca="1">IF(K11="","",3*_xlfn.XLOOKUP(B11,'Pier geometry_2'!A:A,'Pier geometry_2'!H:H)*(0.5-(K11/(_xlfn.XLOOKUP(B11,'Normal loads_2'!A:A,'Normal loads_2'!J:J)*_xlfn.XLOOKUP(B11,'Pier geometry_2'!A:A,'Pier geometry_2'!H:H)))))</f>
        <v>0.72263623892595819</v>
      </c>
      <c r="M11" s="53">
        <f ca="1">IF(K11="","",L11*_xlfn.XLOOKUP(B11,'Pier geometry_2'!A:A,'Pier geometry_2'!I:I)*('Material properties'!$G$24+('Material properties'!$H$18*_xlfn.XLOOKUP(B11,'Normal loads_2'!A:A,'Normal loads_2'!J:J)/Max_shearforce_2!L11/_xlfn.XLOOKUP(B11,'Pier geometry_2'!A:A,'Pier geometry_2'!I:I))))</f>
        <v>249213.1509309322</v>
      </c>
      <c r="N11" s="57">
        <f t="shared" ref="N11:N34" ca="1" si="3">IF(M11="","",1.65)</f>
        <v>1.65</v>
      </c>
      <c r="O11" s="53">
        <f t="shared" ref="O11:O31" ca="1" si="4">IF(M11="","",M11/N11)</f>
        <v>151038.27329147406</v>
      </c>
      <c r="P11" s="53">
        <f t="shared" ref="P11:P31" ca="1" si="5">IF(O11="","",MIN(I11,O11))</f>
        <v>125307.51510601424</v>
      </c>
      <c r="Q11" s="65" t="str">
        <f t="shared" ref="Q11:Q31" ca="1" si="6">IF(P11="","",IF(P11=I11,"Flexure","Shear"))</f>
        <v>Flexure</v>
      </c>
      <c r="R11" s="53">
        <f t="shared" ref="R11:R31" ca="1" si="7">IF(P11="","",P11*0.8)</f>
        <v>100246.0120848114</v>
      </c>
    </row>
    <row r="12" spans="1:27" x14ac:dyDescent="0.3">
      <c r="A12" s="65">
        <v>9</v>
      </c>
      <c r="B12" s="65">
        <v>36</v>
      </c>
      <c r="C12" s="65">
        <v>30</v>
      </c>
      <c r="D12" s="57">
        <f>IF(B12="","",(_xlfn.XLOOKUP(C12,'Pier geometry_2'!A:A,'Pier geometry_2'!D:D)+_xlfn.XLOOKUP(B12,'Pier geometry_2'!A:A,'Pier geometry_2'!D:D))*2/3)</f>
        <v>2.0666666666666664</v>
      </c>
      <c r="E12" s="54">
        <f ca="1">IF(D12="","",_xlfn.XLOOKUP(B12,'Normal loads_2'!A:A,'Normal loads_2'!J:J)/'Material properties'!$H$14/_xlfn.XLOOKUP(Max_shearforce_2!B12,'Pier geometry_2'!A:A,'Pier geometry_2'!H:H)/_xlfn.XLOOKUP(B12,'Pier geometry_2'!A:A,'Pier geometry_2'!I:I))</f>
        <v>7.8991012687969916E-2</v>
      </c>
      <c r="F12" s="57">
        <f t="shared" ca="1" si="0"/>
        <v>0.85</v>
      </c>
      <c r="G12" s="53">
        <f ca="1">IF(F12="","",_xlfn.XLOOKUP(B12,'Pier geometry_2'!A:A,'Pier geometry_2'!H:H)*_xlfn.XLOOKUP(B12,'Normal loads_2'!A:A,'Normal loads_2'!J:J)*(1-(Max_shearforce_2!E12/Max_shearforce_2!F12))/(2*Max_shearforce_2!D12))</f>
        <v>80741.250172993517</v>
      </c>
      <c r="H12" s="57">
        <f t="shared" ca="1" si="1"/>
        <v>2.15</v>
      </c>
      <c r="I12" s="53">
        <f t="shared" ca="1" si="2"/>
        <v>37554.069847903964</v>
      </c>
      <c r="J12" s="53">
        <f ca="1">IF(D12="","",_xlfn.XLOOKUP(B12,'Normal loads_2'!A:A,'Normal loads_2'!J:J)/_xlfn.XLOOKUP(Max_shearforce_2!B12,'Pier geometry_2'!A:A,'Pier geometry_2'!H:H)/_xlfn.XLOOKUP(B12,'Pier geometry_2'!A:A,'Pier geometry_2'!I:I))</f>
        <v>101108.49624060151</v>
      </c>
      <c r="K12" s="53">
        <f ca="1">IF(J12="","",(J12*_xlfn.XLOOKUP(B12,'Pier geometry_2'!A:A,'Pier geometry_2'!H:H)^2*_xlfn.XLOOKUP(B12,'Pier geometry_2'!A:A,'Pier geometry_2'!I:I)/2)*(1-(J12/(0.85*'Material properties'!$H$14))))</f>
        <v>166865.25035751992</v>
      </c>
      <c r="L12" s="57">
        <f ca="1">IF(K12="","",3*_xlfn.XLOOKUP(B12,'Pier geometry_2'!A:A,'Pier geometry_2'!H:H)*(0.5-(K12/(_xlfn.XLOOKUP(B12,'Normal loads_2'!A:A,'Normal loads_2'!J:J)*_xlfn.XLOOKUP(B12,'Pier geometry_2'!A:A,'Pier geometry_2'!H:H)))))</f>
        <v>0.31782266281512622</v>
      </c>
      <c r="M12" s="53">
        <f ca="1">IF(K12="","",L12*_xlfn.XLOOKUP(B12,'Pier geometry_2'!A:A,'Pier geometry_2'!I:I)*('Material properties'!$G$24+('Material properties'!$H$18*_xlfn.XLOOKUP(B12,'Normal loads_2'!A:A,'Normal loads_2'!J:J)/Max_shearforce_2!L12/_xlfn.XLOOKUP(B12,'Pier geometry_2'!A:A,'Pier geometry_2'!I:I))))</f>
        <v>109606.44231617647</v>
      </c>
      <c r="N12" s="57">
        <f t="shared" ca="1" si="3"/>
        <v>1.65</v>
      </c>
      <c r="O12" s="53">
        <f t="shared" ca="1" si="4"/>
        <v>66428.146858288776</v>
      </c>
      <c r="P12" s="53">
        <f t="shared" ca="1" si="5"/>
        <v>37554.069847903964</v>
      </c>
      <c r="Q12" s="65" t="str">
        <f t="shared" ca="1" si="6"/>
        <v>Flexure</v>
      </c>
      <c r="R12" s="53">
        <f t="shared" ca="1" si="7"/>
        <v>30043.255878323173</v>
      </c>
    </row>
    <row r="13" spans="1:27" x14ac:dyDescent="0.3">
      <c r="A13"/>
      <c r="B13"/>
      <c r="C13"/>
      <c r="D13" t="str">
        <f>IF(B13="","",(_xlfn.XLOOKUP(C13,'Pier geometry_2'!A:A,'Pier geometry_2'!D:D)+_xlfn.XLOOKUP(B13,'Pier geometry_2'!A:A,'Pier geometry_2'!D:D))*2/3)</f>
        <v/>
      </c>
      <c r="E13" t="str">
        <f>IF(D13="","",_xlfn.XLOOKUP(B13,'Normal loads_2'!A:A,'Normal loads_2'!J:J)/'Material properties'!$H$14/_xlfn.XLOOKUP(Max_shearforce_2!B13,'Pier geometry_2'!A:A,'Pier geometry_2'!H:H)/_xlfn.XLOOKUP(B13,'Pier geometry_2'!A:A,'Pier geometry_2'!I:I))</f>
        <v/>
      </c>
      <c r="F13" t="str">
        <f t="shared" si="0"/>
        <v/>
      </c>
      <c r="G13" t="str">
        <f>IF(F13="","",_xlfn.XLOOKUP(B13,'Pier geometry_2'!A:A,'Pier geometry_2'!H:H)*_xlfn.XLOOKUP(B13,'Normal loads_2'!A:A,'Normal loads_2'!J:J)*(1-(Max_shearforce_2!E13/Max_shearforce_2!F13))/(2*Max_shearforce_2!D13))</f>
        <v/>
      </c>
      <c r="H13" t="str">
        <f t="shared" si="1"/>
        <v/>
      </c>
      <c r="I13" t="str">
        <f t="shared" si="2"/>
        <v/>
      </c>
      <c r="J13" t="str">
        <f>IF(D13="","",_xlfn.XLOOKUP(B13,'Normal loads_2'!A:A,'Normal loads_2'!J:J)/_xlfn.XLOOKUP(Max_shearforce_2!B13,'Pier geometry_2'!A:A,'Pier geometry_2'!H:H)/_xlfn.XLOOKUP(B13,'Pier geometry_2'!A:A,'Pier geometry_2'!I:I))</f>
        <v/>
      </c>
      <c r="K13" t="str">
        <f>IF(J13="","",(J13*_xlfn.XLOOKUP(B13,'Pier geometry_2'!A:A,'Pier geometry_2'!H:H)^2*_xlfn.XLOOKUP(B13,'Pier geometry_2'!A:A,'Pier geometry_2'!I:I)/2)*(1-(J13/(0.85*'Material properties'!$H$14))))</f>
        <v/>
      </c>
      <c r="L13" t="str">
        <f>IF(K13="","",3*_xlfn.XLOOKUP(B13,'Pier geometry_2'!A:A,'Pier geometry_2'!H:H)*(0.5-(K13/(_xlfn.XLOOKUP(B13,'Normal loads_2'!A:A,'Normal loads_2'!J:J)*_xlfn.XLOOKUP(B13,'Pier geometry_2'!A:A,'Pier geometry_2'!H:H)))))</f>
        <v/>
      </c>
      <c r="M13" t="str">
        <f>IF(K13="","",L13*_xlfn.XLOOKUP(B13,'Pier geometry_2'!A:A,'Pier geometry_2'!I:I)*('Material properties'!$G$24+('Material properties'!$H$18*_xlfn.XLOOKUP(B13,'Normal loads_2'!A:A,'Normal loads_2'!J:J)/Max_shearforce_2!L13/_xlfn.XLOOKUP(B13,'Pier geometry_2'!A:A,'Pier geometry_2'!I:I))))</f>
        <v/>
      </c>
      <c r="N13" t="str">
        <f t="shared" si="3"/>
        <v/>
      </c>
      <c r="O13" t="str">
        <f t="shared" si="4"/>
        <v/>
      </c>
      <c r="P13" t="str">
        <f t="shared" si="5"/>
        <v/>
      </c>
      <c r="Q13" t="str">
        <f t="shared" si="6"/>
        <v/>
      </c>
      <c r="R13" t="str">
        <f t="shared" si="7"/>
        <v/>
      </c>
    </row>
    <row r="14" spans="1:27" x14ac:dyDescent="0.3">
      <c r="A14" s="37" t="s">
        <v>39</v>
      </c>
      <c r="B14"/>
      <c r="C14"/>
      <c r="D14" t="str">
        <f>IF(B14="","",(_xlfn.XLOOKUP(C14,'Pier geometry_2'!A:A,'Pier geometry_2'!D:D)+_xlfn.XLOOKUP(B14,'Pier geometry_2'!A:A,'Pier geometry_2'!D:D))*2/3)</f>
        <v/>
      </c>
      <c r="E14" t="str">
        <f>IF(D14="","",_xlfn.XLOOKUP(B14,'Normal loads_2'!A:A,'Normal loads_2'!J:J)/'Material properties'!$H$14/_xlfn.XLOOKUP(Max_shearforce_2!B14,'Pier geometry_2'!A:A,'Pier geometry_2'!H:H)/_xlfn.XLOOKUP(B14,'Pier geometry_2'!A:A,'Pier geometry_2'!I:I))</f>
        <v/>
      </c>
      <c r="F14" t="str">
        <f t="shared" si="0"/>
        <v/>
      </c>
      <c r="G14" t="str">
        <f>IF(F14="","",_xlfn.XLOOKUP(B14,'Pier geometry_2'!A:A,'Pier geometry_2'!H:H)*_xlfn.XLOOKUP(B14,'Normal loads_2'!A:A,'Normal loads_2'!J:J)*(1-(Max_shearforce_2!E14/Max_shearforce_2!F14))/(2*Max_shearforce_2!D14))</f>
        <v/>
      </c>
      <c r="H14" t="str">
        <f t="shared" si="1"/>
        <v/>
      </c>
      <c r="I14" t="str">
        <f t="shared" si="2"/>
        <v/>
      </c>
      <c r="J14" t="str">
        <f>IF(D14="","",_xlfn.XLOOKUP(B14,'Normal loads_2'!A:A,'Normal loads_2'!J:J)/_xlfn.XLOOKUP(Max_shearforce_2!B14,'Pier geometry_2'!A:A,'Pier geometry_2'!H:H)/_xlfn.XLOOKUP(B14,'Pier geometry_2'!A:A,'Pier geometry_2'!I:I))</f>
        <v/>
      </c>
      <c r="K14" t="str">
        <f>IF(J14="","",(J14*_xlfn.XLOOKUP(B14,'Pier geometry_2'!A:A,'Pier geometry_2'!H:H)^2*_xlfn.XLOOKUP(B14,'Pier geometry_2'!A:A,'Pier geometry_2'!I:I)/2)*(1-(J14/(0.85*'Material properties'!$H$14))))</f>
        <v/>
      </c>
      <c r="L14" t="str">
        <f>IF(K14="","",3*_xlfn.XLOOKUP(B14,'Pier geometry_2'!A:A,'Pier geometry_2'!H:H)*(0.5-(K14/(_xlfn.XLOOKUP(B14,'Normal loads_2'!A:A,'Normal loads_2'!J:J)*_xlfn.XLOOKUP(B14,'Pier geometry_2'!A:A,'Pier geometry_2'!H:H)))))</f>
        <v/>
      </c>
      <c r="M14" t="str">
        <f>IF(K14="","",L14*_xlfn.XLOOKUP(B14,'Pier geometry_2'!A:A,'Pier geometry_2'!I:I)*('Material properties'!$G$24+('Material properties'!$H$18*_xlfn.XLOOKUP(B14,'Normal loads_2'!A:A,'Normal loads_2'!J:J)/Max_shearforce_2!L14/_xlfn.XLOOKUP(B14,'Pier geometry_2'!A:A,'Pier geometry_2'!I:I))))</f>
        <v/>
      </c>
      <c r="N14" t="str">
        <f t="shared" si="3"/>
        <v/>
      </c>
      <c r="O14" t="str">
        <f t="shared" si="4"/>
        <v/>
      </c>
      <c r="P14" t="str">
        <f t="shared" si="5"/>
        <v/>
      </c>
      <c r="Q14" t="str">
        <f t="shared" si="6"/>
        <v/>
      </c>
      <c r="R14" t="str">
        <f t="shared" si="7"/>
        <v/>
      </c>
    </row>
    <row r="15" spans="1:27" x14ac:dyDescent="0.3">
      <c r="A15" s="65">
        <v>15</v>
      </c>
      <c r="B15" s="65">
        <v>67</v>
      </c>
      <c r="C15" s="65">
        <v>62</v>
      </c>
      <c r="D15" s="57">
        <f>IF(B15="","",(_xlfn.XLOOKUP(C15,'Pier geometry_2'!A:A,'Pier geometry_2'!D:D)+_xlfn.XLOOKUP(B15,'Pier geometry_2'!A:A,'Pier geometry_2'!D:D))*2/3)</f>
        <v>2.2666666666666666</v>
      </c>
      <c r="E15" s="54">
        <f ca="1">IF(D15="","",_xlfn.XLOOKUP(B15,'Normal loads_2'!A:A,'Normal loads_2'!J:J)/'Material properties'!$H$14/_xlfn.XLOOKUP(Max_shearforce_2!B15,'Pier geometry_2'!A:A,'Pier geometry_2'!H:H)/_xlfn.XLOOKUP(B15,'Pier geometry_2'!A:A,'Pier geometry_2'!I:I))</f>
        <v>8.0804199978884453E-2</v>
      </c>
      <c r="F15" s="57">
        <f t="shared" ca="1" si="0"/>
        <v>0.85</v>
      </c>
      <c r="G15" s="53">
        <f ca="1">IF(F15="","",_xlfn.XLOOKUP(B15,'Pier geometry_2'!A:A,'Pier geometry_2'!H:H)*_xlfn.XLOOKUP(B15,'Normal loads_2'!A:A,'Normal loads_2'!J:J)*(1-(Max_shearforce_2!E15/Max_shearforce_2!F15))/(2*Max_shearforce_2!D15))</f>
        <v>75129.753394275176</v>
      </c>
      <c r="H15" s="57">
        <f t="shared" ca="1" si="1"/>
        <v>2.15</v>
      </c>
      <c r="I15" s="53">
        <f t="shared" ca="1" si="2"/>
        <v>34944.071346174504</v>
      </c>
      <c r="J15" s="53">
        <f ca="1">IF(D15="","",_xlfn.XLOOKUP(B15,'Normal loads_2'!A:A,'Normal loads_2'!J:J)/_xlfn.XLOOKUP(Max_shearforce_2!B15,'Pier geometry_2'!A:A,'Pier geometry_2'!H:H)/_xlfn.XLOOKUP(B15,'Pier geometry_2'!A:A,'Pier geometry_2'!I:I))</f>
        <v>103429.37597297209</v>
      </c>
      <c r="K15" s="53">
        <f ca="1">IF(J15="","",(J15*_xlfn.XLOOKUP(B15,'Pier geometry_2'!A:A,'Pier geometry_2'!H:H)^2*_xlfn.XLOOKUP(B15,'Pier geometry_2'!A:A,'Pier geometry_2'!I:I)/2)*(1-(J15/(0.85*'Material properties'!$H$14))))</f>
        <v>170294.10769369043</v>
      </c>
      <c r="L15" s="57">
        <f ca="1">IF(K15="","",3*_xlfn.XLOOKUP(B15,'Pier geometry_2'!A:A,'Pier geometry_2'!H:H)*(0.5-(K15/(_xlfn.XLOOKUP(B15,'Normal loads_2'!A:A,'Normal loads_2'!J:J)*_xlfn.XLOOKUP(B15,'Pier geometry_2'!A:A,'Pier geometry_2'!H:H)))))</f>
        <v>0.32511807520915809</v>
      </c>
      <c r="M15" s="53">
        <f ca="1">IF(K15="","",L15*_xlfn.XLOOKUP(B15,'Pier geometry_2'!A:A,'Pier geometry_2'!I:I)*('Material properties'!$G$24+('Material properties'!$H$18*_xlfn.XLOOKUP(B15,'Normal loads_2'!A:A,'Normal loads_2'!J:J)/Max_shearforce_2!L15/_xlfn.XLOOKUP(B15,'Pier geometry_2'!A:A,'Pier geometry_2'!I:I))))</f>
        <v>112122.38687046508</v>
      </c>
      <c r="N15" s="57">
        <f t="shared" ca="1" si="3"/>
        <v>1.65</v>
      </c>
      <c r="O15" s="53">
        <f t="shared" ca="1" si="4"/>
        <v>67952.961739675811</v>
      </c>
      <c r="P15" s="53">
        <f t="shared" ca="1" si="5"/>
        <v>34944.071346174504</v>
      </c>
      <c r="Q15" s="65" t="str">
        <f t="shared" ca="1" si="6"/>
        <v>Flexure</v>
      </c>
      <c r="R15" s="53">
        <f t="shared" ca="1" si="7"/>
        <v>27955.257076939604</v>
      </c>
    </row>
    <row r="16" spans="1:27" x14ac:dyDescent="0.3">
      <c r="A16" s="65">
        <v>16</v>
      </c>
      <c r="B16" s="65">
        <v>68</v>
      </c>
      <c r="C16" s="65">
        <v>63</v>
      </c>
      <c r="D16" s="57">
        <f>IF(B16="","",(_xlfn.XLOOKUP(C16,'Pier geometry_2'!A:A,'Pier geometry_2'!D:D)+_xlfn.XLOOKUP(B16,'Pier geometry_2'!A:A,'Pier geometry_2'!D:D))*2/3)</f>
        <v>2.2666666666666666</v>
      </c>
      <c r="E16" s="54">
        <f ca="1">IF(D16="","",_xlfn.XLOOKUP(B16,'Normal loads_2'!A:A,'Normal loads_2'!J:J)/'Material properties'!$H$14/_xlfn.XLOOKUP(Max_shearforce_2!B16,'Pier geometry_2'!A:A,'Pier geometry_2'!H:H)/_xlfn.XLOOKUP(B16,'Pier geometry_2'!A:A,'Pier geometry_2'!I:I))</f>
        <v>0.10299444190163112</v>
      </c>
      <c r="F16" s="57">
        <f t="shared" ca="1" si="0"/>
        <v>0.85</v>
      </c>
      <c r="G16" s="53">
        <f ca="1">IF(F16="","",_xlfn.XLOOKUP(B16,'Pier geometry_2'!A:A,'Pier geometry_2'!H:H)*_xlfn.XLOOKUP(B16,'Normal loads_2'!A:A,'Normal loads_2'!J:J)*(1-(Max_shearforce_2!E16/Max_shearforce_2!F16))/(2*Max_shearforce_2!D16))</f>
        <v>346349.37246046623</v>
      </c>
      <c r="H16" s="57">
        <f t="shared" ca="1" si="1"/>
        <v>2.15</v>
      </c>
      <c r="I16" s="53">
        <f t="shared" ca="1" si="2"/>
        <v>161092.73137696105</v>
      </c>
      <c r="J16" s="53">
        <f ca="1">IF(D16="","",_xlfn.XLOOKUP(B16,'Normal loads_2'!A:A,'Normal loads_2'!J:J)/_xlfn.XLOOKUP(Max_shearforce_2!B16,'Pier geometry_2'!A:A,'Pier geometry_2'!H:H)/_xlfn.XLOOKUP(B16,'Pier geometry_2'!A:A,'Pier geometry_2'!I:I))</f>
        <v>131832.88563408787</v>
      </c>
      <c r="K16" s="53">
        <f ca="1">IF(J16="","",(J16*_xlfn.XLOOKUP(B16,'Pier geometry_2'!A:A,'Pier geometry_2'!H:H)^2*_xlfn.XLOOKUP(B16,'Pier geometry_2'!A:A,'Pier geometry_2'!I:I)/2)*(1-(J16/(0.85*'Material properties'!$H$14))))</f>
        <v>785058.57757705683</v>
      </c>
      <c r="L16" s="57">
        <f ca="1">IF(K16="","",3*_xlfn.XLOOKUP(B16,'Pier geometry_2'!A:A,'Pier geometry_2'!H:H)*(0.5-(K16/(_xlfn.XLOOKUP(B16,'Normal loads_2'!A:A,'Normal loads_2'!J:J)*_xlfn.XLOOKUP(B16,'Pier geometry_2'!A:A,'Pier geometry_2'!H:H)))))</f>
        <v>0.79972154888325298</v>
      </c>
      <c r="M16" s="53">
        <f ca="1">IF(K16="","",L16*_xlfn.XLOOKUP(B16,'Pier geometry_2'!A:A,'Pier geometry_2'!I:I)*('Material properties'!$G$24+('Material properties'!$H$18*_xlfn.XLOOKUP(B16,'Normal loads_2'!A:A,'Normal loads_2'!J:J)/Max_shearforce_2!L16/_xlfn.XLOOKUP(B16,'Pier geometry_2'!A:A,'Pier geometry_2'!I:I))))</f>
        <v>275797.3048248713</v>
      </c>
      <c r="N16" s="57">
        <f t="shared" ca="1" si="3"/>
        <v>1.65</v>
      </c>
      <c r="O16" s="53">
        <f t="shared" ca="1" si="4"/>
        <v>167149.88171204322</v>
      </c>
      <c r="P16" s="53">
        <f t="shared" ca="1" si="5"/>
        <v>161092.73137696105</v>
      </c>
      <c r="Q16" s="65" t="str">
        <f t="shared" ca="1" si="6"/>
        <v>Flexure</v>
      </c>
      <c r="R16" s="53">
        <f t="shared" ca="1" si="7"/>
        <v>128874.18510156884</v>
      </c>
    </row>
    <row r="17" spans="1:18" x14ac:dyDescent="0.3">
      <c r="A17" s="65">
        <v>17</v>
      </c>
      <c r="B17" s="65">
        <v>69</v>
      </c>
      <c r="C17" s="65">
        <v>64</v>
      </c>
      <c r="D17" s="57">
        <f>IF(B17="","",(_xlfn.XLOOKUP(C17,'Pier geometry_2'!A:A,'Pier geometry_2'!D:D)+_xlfn.XLOOKUP(B17,'Pier geometry_2'!A:A,'Pier geometry_2'!D:D))*2/3)</f>
        <v>2.2666666666666666</v>
      </c>
      <c r="E17" s="54">
        <f ca="1">IF(D17="","",_xlfn.XLOOKUP(B17,'Normal loads_2'!A:A,'Normal loads_2'!J:J)/'Material properties'!$H$14/_xlfn.XLOOKUP(Max_shearforce_2!B17,'Pier geometry_2'!A:A,'Pier geometry_2'!H:H)/_xlfn.XLOOKUP(B17,'Pier geometry_2'!A:A,'Pier geometry_2'!I:I))</f>
        <v>0.11288064090897516</v>
      </c>
      <c r="F17" s="57">
        <f t="shared" ca="1" si="0"/>
        <v>0.85</v>
      </c>
      <c r="G17" s="53">
        <f ca="1">IF(F17="","",_xlfn.XLOOKUP(B17,'Pier geometry_2'!A:A,'Pier geometry_2'!H:H)*_xlfn.XLOOKUP(B17,'Normal loads_2'!A:A,'Normal loads_2'!J:J)*(1-(Max_shearforce_2!E17/Max_shearforce_2!F17))/(2*Max_shearforce_2!D17))</f>
        <v>100576.93765239045</v>
      </c>
      <c r="H17" s="57">
        <f t="shared" ca="1" si="1"/>
        <v>2.15</v>
      </c>
      <c r="I17" s="53">
        <f t="shared" ca="1" si="2"/>
        <v>46779.971001111837</v>
      </c>
      <c r="J17" s="53">
        <f ca="1">IF(D17="","",_xlfn.XLOOKUP(B17,'Normal loads_2'!A:A,'Normal loads_2'!J:J)/_xlfn.XLOOKUP(Max_shearforce_2!B17,'Pier geometry_2'!A:A,'Pier geometry_2'!H:H)/_xlfn.XLOOKUP(B17,'Pier geometry_2'!A:A,'Pier geometry_2'!I:I))</f>
        <v>144487.22036348822</v>
      </c>
      <c r="K17" s="53">
        <f ca="1">IF(J17="","",(J17*_xlfn.XLOOKUP(B17,'Pier geometry_2'!A:A,'Pier geometry_2'!H:H)^2*_xlfn.XLOOKUP(B17,'Pier geometry_2'!A:A,'Pier geometry_2'!I:I)/2)*(1-(J17/(0.85*'Material properties'!$H$14))))</f>
        <v>227974.39201208501</v>
      </c>
      <c r="L17" s="57">
        <f ca="1">IF(K17="","",3*_xlfn.XLOOKUP(B17,'Pier geometry_2'!A:A,'Pier geometry_2'!H:H)*(0.5-(K17/(_xlfn.XLOOKUP(B17,'Normal loads_2'!A:A,'Normal loads_2'!J:J)*_xlfn.XLOOKUP(B17,'Pier geometry_2'!A:A,'Pier geometry_2'!H:H)))))</f>
        <v>0.45417857871611184</v>
      </c>
      <c r="M17" s="53">
        <f ca="1">IF(K17="","",L17*_xlfn.XLOOKUP(B17,'Pier geometry_2'!A:A,'Pier geometry_2'!I:I)*('Material properties'!$G$24+('Material properties'!$H$18*_xlfn.XLOOKUP(B17,'Normal loads_2'!A:A,'Normal loads_2'!J:J)/Max_shearforce_2!L17/_xlfn.XLOOKUP(B17,'Pier geometry_2'!A:A,'Pier geometry_2'!I:I))))</f>
        <v>156631.05251322975</v>
      </c>
      <c r="N17" s="57">
        <f t="shared" ca="1" si="3"/>
        <v>1.65</v>
      </c>
      <c r="O17" s="53">
        <f t="shared" ca="1" si="4"/>
        <v>94927.910614078646</v>
      </c>
      <c r="P17" s="53">
        <f t="shared" ca="1" si="5"/>
        <v>46779.971001111837</v>
      </c>
      <c r="Q17" s="65" t="str">
        <f t="shared" ca="1" si="6"/>
        <v>Flexure</v>
      </c>
      <c r="R17" s="53">
        <f t="shared" ca="1" si="7"/>
        <v>37423.976800889468</v>
      </c>
    </row>
    <row r="18" spans="1:18" x14ac:dyDescent="0.3">
      <c r="A18"/>
      <c r="B18"/>
      <c r="C18"/>
      <c r="D18" t="str">
        <f>IF(B18="","",(_xlfn.XLOOKUP(C18,'Pier geometry_2'!A:A,'Pier geometry_2'!D:D)+_xlfn.XLOOKUP(B18,'Pier geometry_2'!A:A,'Pier geometry_2'!D:D))*2/3)</f>
        <v/>
      </c>
      <c r="E18" t="str">
        <f>IF(D18="","",_xlfn.XLOOKUP(B18,'Normal loads_2'!A:A,'Normal loads_2'!J:J)/'Material properties'!$H$14/_xlfn.XLOOKUP(Max_shearforce_2!B18,'Pier geometry_2'!A:A,'Pier geometry_2'!H:H)/_xlfn.XLOOKUP(B18,'Pier geometry_2'!A:A,'Pier geometry_2'!I:I))</f>
        <v/>
      </c>
      <c r="F18" t="str">
        <f t="shared" si="0"/>
        <v/>
      </c>
      <c r="G18" t="str">
        <f>IF(F18="","",_xlfn.XLOOKUP(B18,'Pier geometry_2'!A:A,'Pier geometry_2'!H:H)*_xlfn.XLOOKUP(B18,'Normal loads_2'!A:A,'Normal loads_2'!J:J)*(1-(Max_shearforce_2!E18/Max_shearforce_2!F18))/(2*Max_shearforce_2!D18))</f>
        <v/>
      </c>
      <c r="H18" t="str">
        <f t="shared" si="1"/>
        <v/>
      </c>
      <c r="I18" t="str">
        <f t="shared" si="2"/>
        <v/>
      </c>
      <c r="J18" t="str">
        <f>IF(D18="","",_xlfn.XLOOKUP(B18,'Normal loads_2'!A:A,'Normal loads_2'!J:J)/_xlfn.XLOOKUP(Max_shearforce_2!B18,'Pier geometry_2'!A:A,'Pier geometry_2'!H:H)/_xlfn.XLOOKUP(B18,'Pier geometry_2'!A:A,'Pier geometry_2'!I:I))</f>
        <v/>
      </c>
      <c r="K18" t="str">
        <f>IF(J18="","",(J18*_xlfn.XLOOKUP(B18,'Pier geometry_2'!A:A,'Pier geometry_2'!H:H)^2*_xlfn.XLOOKUP(B18,'Pier geometry_2'!A:A,'Pier geometry_2'!I:I)/2)*(1-(J18/(0.85*'Material properties'!$H$14))))</f>
        <v/>
      </c>
      <c r="L18" t="str">
        <f>IF(K18="","",3*_xlfn.XLOOKUP(B18,'Pier geometry_2'!A:A,'Pier geometry_2'!H:H)*(0.5-(K18/(_xlfn.XLOOKUP(B18,'Normal loads_2'!A:A,'Normal loads_2'!J:J)*_xlfn.XLOOKUP(B18,'Pier geometry_2'!A:A,'Pier geometry_2'!H:H)))))</f>
        <v/>
      </c>
      <c r="M18" t="str">
        <f>IF(K18="","",L18*_xlfn.XLOOKUP(B18,'Pier geometry_2'!A:A,'Pier geometry_2'!I:I)*('Material properties'!$G$24+('Material properties'!$H$18*_xlfn.XLOOKUP(B18,'Normal loads_2'!A:A,'Normal loads_2'!J:J)/Max_shearforce_2!L18/_xlfn.XLOOKUP(B18,'Pier geometry_2'!A:A,'Pier geometry_2'!I:I))))</f>
        <v/>
      </c>
      <c r="N18" t="str">
        <f t="shared" si="3"/>
        <v/>
      </c>
      <c r="O18" t="str">
        <f t="shared" si="4"/>
        <v/>
      </c>
      <c r="P18" t="str">
        <f t="shared" si="5"/>
        <v/>
      </c>
      <c r="Q18" t="str">
        <f t="shared" si="6"/>
        <v/>
      </c>
      <c r="R18" t="str">
        <f t="shared" si="7"/>
        <v/>
      </c>
    </row>
    <row r="19" spans="1:18" x14ac:dyDescent="0.3">
      <c r="A19" s="37" t="s">
        <v>41</v>
      </c>
      <c r="B19"/>
      <c r="C19"/>
      <c r="D19" t="str">
        <f>IF(B19="","",(_xlfn.XLOOKUP(C19,'Pier geometry_2'!A:A,'Pier geometry_2'!D:D)+_xlfn.XLOOKUP(B19,'Pier geometry_2'!A:A,'Pier geometry_2'!D:D))*2/3)</f>
        <v/>
      </c>
      <c r="E19" t="str">
        <f>IF(D19="","",_xlfn.XLOOKUP(B19,'Normal loads_2'!A:A,'Normal loads_2'!J:J)/'Material properties'!$H$14/_xlfn.XLOOKUP(Max_shearforce_2!B19,'Pier geometry_2'!A:A,'Pier geometry_2'!H:H)/_xlfn.XLOOKUP(B19,'Pier geometry_2'!A:A,'Pier geometry_2'!I:I))</f>
        <v/>
      </c>
      <c r="F19" t="str">
        <f t="shared" si="0"/>
        <v/>
      </c>
      <c r="G19" t="str">
        <f>IF(F19="","",_xlfn.XLOOKUP(B19,'Pier geometry_2'!A:A,'Pier geometry_2'!H:H)*_xlfn.XLOOKUP(B19,'Normal loads_2'!A:A,'Normal loads_2'!J:J)*(1-(Max_shearforce_2!E19/Max_shearforce_2!F19))/(2*Max_shearforce_2!D19))</f>
        <v/>
      </c>
      <c r="H19" t="str">
        <f t="shared" si="1"/>
        <v/>
      </c>
      <c r="I19" t="str">
        <f t="shared" si="2"/>
        <v/>
      </c>
      <c r="J19" t="str">
        <f>IF(D19="","",_xlfn.XLOOKUP(B19,'Normal loads_2'!A:A,'Normal loads_2'!J:J)/_xlfn.XLOOKUP(Max_shearforce_2!B19,'Pier geometry_2'!A:A,'Pier geometry_2'!H:H)/_xlfn.XLOOKUP(B19,'Pier geometry_2'!A:A,'Pier geometry_2'!I:I))</f>
        <v/>
      </c>
      <c r="K19" t="str">
        <f>IF(J19="","",(J19*_xlfn.XLOOKUP(B19,'Pier geometry_2'!A:A,'Pier geometry_2'!H:H)^2*_xlfn.XLOOKUP(B19,'Pier geometry_2'!A:A,'Pier geometry_2'!I:I)/2)*(1-(J19/(0.85*'Material properties'!$H$14))))</f>
        <v/>
      </c>
      <c r="L19" t="str">
        <f>IF(K19="","",3*_xlfn.XLOOKUP(B19,'Pier geometry_2'!A:A,'Pier geometry_2'!H:H)*(0.5-(K19/(_xlfn.XLOOKUP(B19,'Normal loads_2'!A:A,'Normal loads_2'!J:J)*_xlfn.XLOOKUP(B19,'Pier geometry_2'!A:A,'Pier geometry_2'!H:H)))))</f>
        <v/>
      </c>
      <c r="M19" t="str">
        <f>IF(K19="","",L19*_xlfn.XLOOKUP(B19,'Pier geometry_2'!A:A,'Pier geometry_2'!I:I)*('Material properties'!$G$24+('Material properties'!$H$18*_xlfn.XLOOKUP(B19,'Normal loads_2'!A:A,'Normal loads_2'!J:J)/Max_shearforce_2!L19/_xlfn.XLOOKUP(B19,'Pier geometry_2'!A:A,'Pier geometry_2'!I:I))))</f>
        <v/>
      </c>
      <c r="N19" t="str">
        <f t="shared" si="3"/>
        <v/>
      </c>
      <c r="O19" t="str">
        <f t="shared" si="4"/>
        <v/>
      </c>
      <c r="P19" t="str">
        <f t="shared" si="5"/>
        <v/>
      </c>
      <c r="Q19" t="str">
        <f t="shared" si="6"/>
        <v/>
      </c>
      <c r="R19" t="str">
        <f t="shared" si="7"/>
        <v/>
      </c>
    </row>
    <row r="20" spans="1:18" x14ac:dyDescent="0.3">
      <c r="A20" s="65">
        <v>22</v>
      </c>
      <c r="B20" s="65">
        <v>95</v>
      </c>
      <c r="C20" s="65">
        <v>90</v>
      </c>
      <c r="D20" s="57">
        <f>IF(B20="","",(_xlfn.XLOOKUP(C20,'Pier geometry_2'!A:A,'Pier geometry_2'!D:D)+_xlfn.XLOOKUP(B20,'Pier geometry_2'!A:A,'Pier geometry_2'!D:D))*2/3)</f>
        <v>2.6666666666666665</v>
      </c>
      <c r="E20" s="54">
        <f ca="1">IF(D20="","",_xlfn.XLOOKUP(B20,'Normal loads_2'!A:A,'Normal loads_2'!J:J)/'Material properties'!$H$14/_xlfn.XLOOKUP(Max_shearforce_2!B20,'Pier geometry_2'!A:A,'Pier geometry_2'!H:H)/_xlfn.XLOOKUP(B20,'Pier geometry_2'!A:A,'Pier geometry_2'!I:I))</f>
        <v>0.27968911937696123</v>
      </c>
      <c r="F20" s="57">
        <f t="shared" ca="1" si="0"/>
        <v>0.85</v>
      </c>
      <c r="G20" s="53">
        <f ca="1">IF(F20="","",_xlfn.XLOOKUP(B20,'Pier geometry_2'!A:A,'Pier geometry_2'!H:H)*_xlfn.XLOOKUP(B20,'Normal loads_2'!A:A,'Normal loads_2'!J:J)*(1-(Max_shearforce_2!E20/Max_shearforce_2!F20))/(2*Max_shearforce_2!D20))</f>
        <v>8106.8483675464249</v>
      </c>
      <c r="H20" s="57">
        <f t="shared" ca="1" si="1"/>
        <v>2.15</v>
      </c>
      <c r="I20" s="53">
        <f t="shared" ca="1" si="2"/>
        <v>3770.6271476960119</v>
      </c>
      <c r="J20" s="53">
        <f ca="1">IF(D20="","",_xlfn.XLOOKUP(B20,'Normal loads_2'!A:A,'Normal loads_2'!J:J)/_xlfn.XLOOKUP(Max_shearforce_2!B20,'Pier geometry_2'!A:A,'Pier geometry_2'!H:H)/_xlfn.XLOOKUP(B20,'Pier geometry_2'!A:A,'Pier geometry_2'!I:I))</f>
        <v>358002.0728025104</v>
      </c>
      <c r="K20" s="53">
        <f ca="1">IF(J20="","",(J20*_xlfn.XLOOKUP(B20,'Pier geometry_2'!A:A,'Pier geometry_2'!H:H)^2*_xlfn.XLOOKUP(B20,'Pier geometry_2'!A:A,'Pier geometry_2'!I:I)/2)*(1-(J20/(0.85*'Material properties'!$H$14))))</f>
        <v>21618.262313457133</v>
      </c>
      <c r="L20" s="57">
        <f ca="1">IF(K20="","",3*_xlfn.XLOOKUP(B20,'Pier geometry_2'!A:A,'Pier geometry_2'!H:H)*(0.5-(K20/(_xlfn.XLOOKUP(B20,'Normal loads_2'!A:A,'Normal loads_2'!J:J)*_xlfn.XLOOKUP(B20,'Pier geometry_2'!A:A,'Pier geometry_2'!H:H)))))</f>
        <v>0.29614142051678238</v>
      </c>
      <c r="M20" s="53">
        <f ca="1">IF(K20="","",L20*_xlfn.XLOOKUP(B20,'Pier geometry_2'!A:A,'Pier geometry_2'!I:I)*('Material properties'!$G$24+('Material properties'!$H$18*_xlfn.XLOOKUP(B20,'Normal loads_2'!A:A,'Normal loads_2'!J:J)/Max_shearforce_2!L20/_xlfn.XLOOKUP(B20,'Pier geometry_2'!A:A,'Pier geometry_2'!I:I))))</f>
        <v>72949.503253967414</v>
      </c>
      <c r="N20" s="57">
        <f t="shared" ca="1" si="3"/>
        <v>1.65</v>
      </c>
      <c r="O20" s="53">
        <f t="shared" ca="1" si="4"/>
        <v>44211.820153919645</v>
      </c>
      <c r="P20" s="53">
        <f t="shared" ca="1" si="5"/>
        <v>3770.6271476960119</v>
      </c>
      <c r="Q20" s="65" t="str">
        <f t="shared" ca="1" si="6"/>
        <v>Flexure</v>
      </c>
      <c r="R20" s="53">
        <f t="shared" ca="1" si="7"/>
        <v>3016.5017181568096</v>
      </c>
    </row>
    <row r="21" spans="1:18" x14ac:dyDescent="0.3">
      <c r="A21" s="65">
        <v>23</v>
      </c>
      <c r="B21" s="65">
        <v>96</v>
      </c>
      <c r="C21" s="65">
        <v>91</v>
      </c>
      <c r="D21" s="57">
        <f>IF(B21="","",(_xlfn.XLOOKUP(C21,'Pier geometry_2'!A:A,'Pier geometry_2'!D:D)+_xlfn.XLOOKUP(B21,'Pier geometry_2'!A:A,'Pier geometry_2'!D:D))*2/3)</f>
        <v>2.6666666666666665</v>
      </c>
      <c r="E21" s="54">
        <f ca="1">IF(D21="","",_xlfn.XLOOKUP(B21,'Normal loads_2'!A:A,'Normal loads_2'!J:J)/'Material properties'!$H$14/_xlfn.XLOOKUP(Max_shearforce_2!B21,'Pier geometry_2'!A:A,'Pier geometry_2'!H:H)/_xlfn.XLOOKUP(B21,'Pier geometry_2'!A:A,'Pier geometry_2'!I:I))</f>
        <v>0.10481294577665132</v>
      </c>
      <c r="F21" s="57">
        <f t="shared" ca="1" si="0"/>
        <v>0.85</v>
      </c>
      <c r="G21" s="53">
        <f ca="1">IF(F21="","",_xlfn.XLOOKUP(B21,'Pier geometry_2'!A:A,'Pier geometry_2'!H:H)*_xlfn.XLOOKUP(B21,'Normal loads_2'!A:A,'Normal loads_2'!J:J)*(1-(Max_shearforce_2!E21/Max_shearforce_2!F21))/(2*Max_shearforce_2!D21))</f>
        <v>378649.84284266108</v>
      </c>
      <c r="H21" s="57">
        <f t="shared" ca="1" si="1"/>
        <v>2.15</v>
      </c>
      <c r="I21" s="53">
        <f t="shared" ca="1" si="2"/>
        <v>176116.20597333074</v>
      </c>
      <c r="J21" s="53">
        <f ca="1">IF(D21="","",_xlfn.XLOOKUP(B21,'Normal loads_2'!A:A,'Normal loads_2'!J:J)/_xlfn.XLOOKUP(Max_shearforce_2!B21,'Pier geometry_2'!A:A,'Pier geometry_2'!H:H)/_xlfn.XLOOKUP(B21,'Pier geometry_2'!A:A,'Pier geometry_2'!I:I))</f>
        <v>134160.57059411367</v>
      </c>
      <c r="K21" s="53">
        <f ca="1">IF(J21="","",(J21*_xlfn.XLOOKUP(B21,'Pier geometry_2'!A:A,'Pier geometry_2'!H:H)^2*_xlfn.XLOOKUP(B21,'Pier geometry_2'!A:A,'Pier geometry_2'!I:I)/2)*(1-(J21/(0.85*'Material properties'!$H$14))))</f>
        <v>1009732.9142470959</v>
      </c>
      <c r="L21" s="57">
        <f ca="1">IF(K21="","",3*_xlfn.XLOOKUP(B21,'Pier geometry_2'!A:A,'Pier geometry_2'!H:H)*(0.5-(K21/(_xlfn.XLOOKUP(B21,'Normal loads_2'!A:A,'Normal loads_2'!J:J)*_xlfn.XLOOKUP(B21,'Pier geometry_2'!A:A,'Pier geometry_2'!H:H)))))</f>
        <v>1.0838891686785488</v>
      </c>
      <c r="M21" s="53">
        <f ca="1">IF(K21="","",L21*_xlfn.XLOOKUP(B21,'Pier geometry_2'!A:A,'Pier geometry_2'!I:I)*('Material properties'!$G$24+('Material properties'!$H$18*_xlfn.XLOOKUP(B21,'Normal loads_2'!A:A,'Normal loads_2'!J:J)/Max_shearforce_2!L21/_xlfn.XLOOKUP(B21,'Pier geometry_2'!A:A,'Pier geometry_2'!I:I))))</f>
        <v>266998.03188448219</v>
      </c>
      <c r="N21" s="57">
        <f t="shared" ca="1" si="3"/>
        <v>1.65</v>
      </c>
      <c r="O21" s="53">
        <f t="shared" ca="1" si="4"/>
        <v>161816.9890208983</v>
      </c>
      <c r="P21" s="53">
        <f t="shared" ca="1" si="5"/>
        <v>161816.9890208983</v>
      </c>
      <c r="Q21" s="65" t="str">
        <f t="shared" ca="1" si="6"/>
        <v>Shear</v>
      </c>
      <c r="R21" s="53">
        <f t="shared" ca="1" si="7"/>
        <v>129453.59121671865</v>
      </c>
    </row>
    <row r="22" spans="1:18" x14ac:dyDescent="0.3">
      <c r="A22" s="65">
        <v>24</v>
      </c>
      <c r="B22" s="65">
        <v>97</v>
      </c>
      <c r="C22" s="65">
        <v>92</v>
      </c>
      <c r="D22" s="57">
        <f>IF(B22="","",(_xlfn.XLOOKUP(C22,'Pier geometry_2'!A:A,'Pier geometry_2'!D:D)+_xlfn.XLOOKUP(B22,'Pier geometry_2'!A:A,'Pier geometry_2'!D:D))*2/3)</f>
        <v>2.6666666666666665</v>
      </c>
      <c r="E22" s="54">
        <f ca="1">IF(D22="","",_xlfn.XLOOKUP(B22,'Normal loads_2'!A:A,'Normal loads_2'!J:J)/'Material properties'!$H$14/_xlfn.XLOOKUP(Max_shearforce_2!B22,'Pier geometry_2'!A:A,'Pier geometry_2'!H:H)/_xlfn.XLOOKUP(B22,'Pier geometry_2'!A:A,'Pier geometry_2'!I:I))</f>
        <v>7.633295964125561E-2</v>
      </c>
      <c r="F22" s="57">
        <f t="shared" ca="1" si="0"/>
        <v>0.85</v>
      </c>
      <c r="G22" s="53">
        <f ca="1">IF(F22="","",_xlfn.XLOOKUP(B22,'Pier geometry_2'!A:A,'Pier geometry_2'!H:H)*_xlfn.XLOOKUP(B22,'Normal loads_2'!A:A,'Normal loads_2'!J:J)*(1-(Max_shearforce_2!E22/Max_shearforce_2!F22))/(2*Max_shearforce_2!D22))</f>
        <v>41460.854010882351</v>
      </c>
      <c r="H22" s="57">
        <f t="shared" ca="1" si="1"/>
        <v>2.15</v>
      </c>
      <c r="I22" s="53">
        <f t="shared" ca="1" si="2"/>
        <v>19284.118144596443</v>
      </c>
      <c r="J22" s="53">
        <f ca="1">IF(D22="","",_xlfn.XLOOKUP(B22,'Normal loads_2'!A:A,'Normal loads_2'!J:J)/_xlfn.XLOOKUP(Max_shearforce_2!B22,'Pier geometry_2'!A:A,'Pier geometry_2'!H:H)/_xlfn.XLOOKUP(B22,'Pier geometry_2'!A:A,'Pier geometry_2'!I:I))</f>
        <v>97706.188340807174</v>
      </c>
      <c r="K22" s="53">
        <f ca="1">IF(J22="","",(J22*_xlfn.XLOOKUP(B22,'Pier geometry_2'!A:A,'Pier geometry_2'!H:H)^2*_xlfn.XLOOKUP(B22,'Pier geometry_2'!A:A,'Pier geometry_2'!I:I)/2)*(1-(J22/(0.85*'Material properties'!$H$14))))</f>
        <v>110562.27736235294</v>
      </c>
      <c r="L22" s="57">
        <f ca="1">IF(K22="","",3*_xlfn.XLOOKUP(B22,'Pier geometry_2'!A:A,'Pier geometry_2'!H:H)*(0.5-(K22/(_xlfn.XLOOKUP(B22,'Normal loads_2'!A:A,'Normal loads_2'!J:J)*_xlfn.XLOOKUP(B22,'Pier geometry_2'!A:A,'Pier geometry_2'!H:H)))))</f>
        <v>0.30039264705882346</v>
      </c>
      <c r="M22" s="53">
        <f ca="1">IF(K22="","",L22*_xlfn.XLOOKUP(B22,'Pier geometry_2'!A:A,'Pier geometry_2'!I:I)*('Material properties'!$G$24+('Material properties'!$H$18*_xlfn.XLOOKUP(B22,'Normal loads_2'!A:A,'Normal loads_2'!J:J)/Max_shearforce_2!L22/_xlfn.XLOOKUP(B22,'Pier geometry_2'!A:A,'Pier geometry_2'!I:I))))</f>
        <v>73996.722058823521</v>
      </c>
      <c r="N22" s="57">
        <f t="shared" ca="1" si="3"/>
        <v>1.65</v>
      </c>
      <c r="O22" s="53">
        <f t="shared" ca="1" si="4"/>
        <v>44846.498217468805</v>
      </c>
      <c r="P22" s="53">
        <f t="shared" ca="1" si="5"/>
        <v>19284.118144596443</v>
      </c>
      <c r="Q22" s="65" t="str">
        <f t="shared" ca="1" si="6"/>
        <v>Flexure</v>
      </c>
      <c r="R22" s="53">
        <f t="shared" ca="1" si="7"/>
        <v>15427.294515677155</v>
      </c>
    </row>
    <row r="23" spans="1:18" x14ac:dyDescent="0.3">
      <c r="A23"/>
      <c r="B23"/>
      <c r="C23"/>
      <c r="D23" t="str">
        <f>IF(B23="","",(_xlfn.XLOOKUP(C23,'Pier geometry_2'!A:A,'Pier geometry_2'!D:D)+_xlfn.XLOOKUP(B23,'Pier geometry_2'!A:A,'Pier geometry_2'!D:D))*2/3)</f>
        <v/>
      </c>
      <c r="E23" t="str">
        <f>IF(D23="","",_xlfn.XLOOKUP(B23,'Normal loads_2'!A:A,'Normal loads_2'!J:J)/'Material properties'!$H$14/_xlfn.XLOOKUP(Max_shearforce_2!B23,'Pier geometry_2'!A:A,'Pier geometry_2'!H:H)/_xlfn.XLOOKUP(B23,'Pier geometry_2'!A:A,'Pier geometry_2'!I:I))</f>
        <v/>
      </c>
      <c r="F23" t="str">
        <f t="shared" si="0"/>
        <v/>
      </c>
      <c r="G23" t="str">
        <f>IF(F23="","",_xlfn.XLOOKUP(B23,'Pier geometry_2'!A:A,'Pier geometry_2'!H:H)*_xlfn.XLOOKUP(B23,'Normal loads_2'!A:A,'Normal loads_2'!J:J)*(1-(Max_shearforce_2!E23/Max_shearforce_2!F23))/(2*Max_shearforce_2!D23))</f>
        <v/>
      </c>
      <c r="H23" t="str">
        <f t="shared" si="1"/>
        <v/>
      </c>
      <c r="I23" t="str">
        <f t="shared" si="2"/>
        <v/>
      </c>
      <c r="J23" t="str">
        <f>IF(D23="","",_xlfn.XLOOKUP(B23,'Normal loads_2'!A:A,'Normal loads_2'!J:J)/_xlfn.XLOOKUP(Max_shearforce_2!B23,'Pier geometry_2'!A:A,'Pier geometry_2'!H:H)/_xlfn.XLOOKUP(B23,'Pier geometry_2'!A:A,'Pier geometry_2'!I:I))</f>
        <v/>
      </c>
      <c r="K23" t="str">
        <f>IF(J23="","",(J23*_xlfn.XLOOKUP(B23,'Pier geometry_2'!A:A,'Pier geometry_2'!H:H)^2*_xlfn.XLOOKUP(B23,'Pier geometry_2'!A:A,'Pier geometry_2'!I:I)/2)*(1-(J23/(0.85*'Material properties'!$H$14))))</f>
        <v/>
      </c>
      <c r="L23" t="str">
        <f>IF(K23="","",3*_xlfn.XLOOKUP(B23,'Pier geometry_2'!A:A,'Pier geometry_2'!H:H)*(0.5-(K23/(_xlfn.XLOOKUP(B23,'Normal loads_2'!A:A,'Normal loads_2'!J:J)*_xlfn.XLOOKUP(B23,'Pier geometry_2'!A:A,'Pier geometry_2'!H:H)))))</f>
        <v/>
      </c>
      <c r="M23" t="str">
        <f>IF(K23="","",L23*_xlfn.XLOOKUP(B23,'Pier geometry_2'!A:A,'Pier geometry_2'!I:I)*('Material properties'!$G$24+('Material properties'!$H$18*_xlfn.XLOOKUP(B23,'Normal loads_2'!A:A,'Normal loads_2'!J:J)/Max_shearforce_2!L23/_xlfn.XLOOKUP(B23,'Pier geometry_2'!A:A,'Pier geometry_2'!I:I))))</f>
        <v/>
      </c>
      <c r="N23" t="str">
        <f t="shared" si="3"/>
        <v/>
      </c>
      <c r="O23" t="str">
        <f t="shared" si="4"/>
        <v/>
      </c>
      <c r="P23" t="str">
        <f t="shared" si="5"/>
        <v/>
      </c>
      <c r="Q23" t="str">
        <f t="shared" si="6"/>
        <v/>
      </c>
      <c r="R23" t="str">
        <f t="shared" si="7"/>
        <v/>
      </c>
    </row>
    <row r="24" spans="1:18" x14ac:dyDescent="0.3">
      <c r="A24" s="37" t="s">
        <v>42</v>
      </c>
      <c r="B24"/>
      <c r="C24"/>
      <c r="D24" t="str">
        <f>IF(B24="","",(_xlfn.XLOOKUP(C24,'Pier geometry_2'!A:A,'Pier geometry_2'!D:D)+_xlfn.XLOOKUP(B24,'Pier geometry_2'!A:A,'Pier geometry_2'!D:D))*2/3)</f>
        <v/>
      </c>
      <c r="E24" t="str">
        <f>IF(D24="","",_xlfn.XLOOKUP(B24,'Normal loads_2'!A:A,'Normal loads_2'!J:J)/'Material properties'!$H$14/_xlfn.XLOOKUP(Max_shearforce_2!B24,'Pier geometry_2'!A:A,'Pier geometry_2'!H:H)/_xlfn.XLOOKUP(B24,'Pier geometry_2'!A:A,'Pier geometry_2'!I:I))</f>
        <v/>
      </c>
      <c r="F24" t="str">
        <f t="shared" si="0"/>
        <v/>
      </c>
      <c r="G24" t="str">
        <f>IF(F24="","",_xlfn.XLOOKUP(B24,'Pier geometry_2'!A:A,'Pier geometry_2'!H:H)*_xlfn.XLOOKUP(B24,'Normal loads_2'!A:A,'Normal loads_2'!J:J)*(1-(Max_shearforce_2!E24/Max_shearforce_2!F24))/(2*Max_shearforce_2!D24))</f>
        <v/>
      </c>
      <c r="H24" t="str">
        <f t="shared" si="1"/>
        <v/>
      </c>
      <c r="I24" t="str">
        <f t="shared" si="2"/>
        <v/>
      </c>
      <c r="J24" t="str">
        <f>IF(D24="","",_xlfn.XLOOKUP(B24,'Normal loads_2'!A:A,'Normal loads_2'!J:J)/_xlfn.XLOOKUP(Max_shearforce_2!B24,'Pier geometry_2'!A:A,'Pier geometry_2'!H:H)/_xlfn.XLOOKUP(B24,'Pier geometry_2'!A:A,'Pier geometry_2'!I:I))</f>
        <v/>
      </c>
      <c r="K24" t="str">
        <f>IF(J24="","",(J24*_xlfn.XLOOKUP(B24,'Pier geometry_2'!A:A,'Pier geometry_2'!H:H)^2*_xlfn.XLOOKUP(B24,'Pier geometry_2'!A:A,'Pier geometry_2'!I:I)/2)*(1-(J24/(0.85*'Material properties'!$H$14))))</f>
        <v/>
      </c>
      <c r="L24" t="str">
        <f>IF(K24="","",3*_xlfn.XLOOKUP(B24,'Pier geometry_2'!A:A,'Pier geometry_2'!H:H)*(0.5-(K24/(_xlfn.XLOOKUP(B24,'Normal loads_2'!A:A,'Normal loads_2'!J:J)*_xlfn.XLOOKUP(B24,'Pier geometry_2'!A:A,'Pier geometry_2'!H:H)))))</f>
        <v/>
      </c>
      <c r="M24" t="str">
        <f>IF(K24="","",L24*_xlfn.XLOOKUP(B24,'Pier geometry_2'!A:A,'Pier geometry_2'!I:I)*('Material properties'!$G$24+('Material properties'!$H$18*_xlfn.XLOOKUP(B24,'Normal loads_2'!A:A,'Normal loads_2'!J:J)/Max_shearforce_2!L24/_xlfn.XLOOKUP(B24,'Pier geometry_2'!A:A,'Pier geometry_2'!I:I))))</f>
        <v/>
      </c>
      <c r="N24" t="str">
        <f t="shared" si="3"/>
        <v/>
      </c>
      <c r="O24" t="str">
        <f t="shared" si="4"/>
        <v/>
      </c>
      <c r="P24" t="str">
        <f t="shared" si="5"/>
        <v/>
      </c>
      <c r="Q24" t="str">
        <f t="shared" si="6"/>
        <v/>
      </c>
      <c r="R24" t="str">
        <f t="shared" si="7"/>
        <v/>
      </c>
    </row>
    <row r="25" spans="1:18" x14ac:dyDescent="0.3">
      <c r="A25" s="65">
        <v>25</v>
      </c>
      <c r="B25" s="65">
        <v>108</v>
      </c>
      <c r="C25" s="65">
        <v>101</v>
      </c>
      <c r="D25" s="57">
        <f>IF(B25="","",(_xlfn.XLOOKUP(C25,'Pier geometry_2'!A:A,'Pier geometry_2'!D:D)+_xlfn.XLOOKUP(B25,'Pier geometry_2'!A:A,'Pier geometry_2'!D:D))*2/3)</f>
        <v>2.6666666666666665</v>
      </c>
      <c r="E25" s="54">
        <f ca="1">IF(D25="","",_xlfn.XLOOKUP(B25,'Normal loads_2'!A:A,'Normal loads_2'!J:J)/'Material properties'!$H$14/_xlfn.XLOOKUP(Max_shearforce_2!B25,'Pier geometry_2'!A:A,'Pier geometry_2'!H:H)/_xlfn.XLOOKUP(B25,'Pier geometry_2'!A:A,'Pier geometry_2'!I:I))</f>
        <v>8.446790907978742E-2</v>
      </c>
      <c r="F25" s="57">
        <f t="shared" ca="1" si="0"/>
        <v>0.85</v>
      </c>
      <c r="G25" s="53">
        <f ca="1">IF(F25="","",_xlfn.XLOOKUP(B25,'Pier geometry_2'!A:A,'Pier geometry_2'!H:H)*_xlfn.XLOOKUP(B25,'Normal loads_2'!A:A,'Normal loads_2'!J:J)*(1-(Max_shearforce_2!E25/Max_shearforce_2!F25))/(2*Max_shearforce_2!D25))</f>
        <v>1687.9297828791027</v>
      </c>
      <c r="H25" s="57">
        <f t="shared" ca="1" si="1"/>
        <v>2.15</v>
      </c>
      <c r="I25" s="53">
        <f t="shared" ca="1" si="2"/>
        <v>785.08361994376878</v>
      </c>
      <c r="J25" s="53">
        <f ca="1">IF(D25="","",_xlfn.XLOOKUP(B25,'Normal loads_2'!A:A,'Normal loads_2'!J:J)/_xlfn.XLOOKUP(Max_shearforce_2!B25,'Pier geometry_2'!A:A,'Pier geometry_2'!H:H)/_xlfn.XLOOKUP(B25,'Pier geometry_2'!A:A,'Pier geometry_2'!I:I))</f>
        <v>108118.9236221279</v>
      </c>
      <c r="K25" s="53">
        <f ca="1">IF(J25="","",(J25*_xlfn.XLOOKUP(B25,'Pier geometry_2'!A:A,'Pier geometry_2'!H:H)^2*_xlfn.XLOOKUP(B25,'Pier geometry_2'!A:A,'Pier geometry_2'!I:I)/2)*(1-(J25/(0.85*'Material properties'!$H$14))))</f>
        <v>4501.1460876776064</v>
      </c>
      <c r="L25" s="57">
        <f ca="1">IF(K25="","",3*_xlfn.XLOOKUP(B25,'Pier geometry_2'!A:A,'Pier geometry_2'!H:H)*(0.5-(K25/(_xlfn.XLOOKUP(B25,'Normal loads_2'!A:A,'Normal loads_2'!J:J)*_xlfn.XLOOKUP(B25,'Pier geometry_2'!A:A,'Pier geometry_2'!H:H)))))</f>
        <v>6.4096236889956401E-2</v>
      </c>
      <c r="M25" s="53">
        <f ca="1">IF(K25="","",L25*_xlfn.XLOOKUP(B25,'Pier geometry_2'!A:A,'Pier geometry_2'!I:I)*('Material properties'!$G$24+('Material properties'!$H$18*_xlfn.XLOOKUP(B25,'Normal loads_2'!A:A,'Normal loads_2'!J:J)/Max_shearforce_2!L25/_xlfn.XLOOKUP(B25,'Pier geometry_2'!A:A,'Pier geometry_2'!I:I))))</f>
        <v>15789.039687225917</v>
      </c>
      <c r="N25" s="57">
        <f t="shared" ca="1" si="3"/>
        <v>1.65</v>
      </c>
      <c r="O25" s="53">
        <f t="shared" ca="1" si="4"/>
        <v>9569.1149619551015</v>
      </c>
      <c r="P25" s="53">
        <f t="shared" ca="1" si="5"/>
        <v>785.08361994376878</v>
      </c>
      <c r="Q25" s="65" t="str">
        <f t="shared" ca="1" si="6"/>
        <v>Flexure</v>
      </c>
      <c r="R25" s="53">
        <f t="shared" ca="1" si="7"/>
        <v>628.06689595501507</v>
      </c>
    </row>
    <row r="26" spans="1:18" x14ac:dyDescent="0.3">
      <c r="A26" s="65">
        <v>26</v>
      </c>
      <c r="B26" s="65">
        <v>109</v>
      </c>
      <c r="C26" s="65">
        <v>102</v>
      </c>
      <c r="D26" s="57">
        <f>IF(B26="","",(_xlfn.XLOOKUP(C26,'Pier geometry_2'!A:A,'Pier geometry_2'!D:D)+_xlfn.XLOOKUP(B26,'Pier geometry_2'!A:A,'Pier geometry_2'!D:D))*2/3)</f>
        <v>2.6666666666666665</v>
      </c>
      <c r="E26" s="54">
        <f ca="1">IF(D26="","",_xlfn.XLOOKUP(B26,'Normal loads_2'!A:A,'Normal loads_2'!J:J)/'Material properties'!$H$14/_xlfn.XLOOKUP(Max_shearforce_2!B26,'Pier geometry_2'!A:A,'Pier geometry_2'!H:H)/_xlfn.XLOOKUP(B26,'Pier geometry_2'!A:A,'Pier geometry_2'!I:I))</f>
        <v>0.16350088652611081</v>
      </c>
      <c r="F26" s="57">
        <f t="shared" ca="1" si="0"/>
        <v>0.85</v>
      </c>
      <c r="G26" s="53">
        <f ca="1">IF(F26="","",_xlfn.XLOOKUP(B26,'Pier geometry_2'!A:A,'Pier geometry_2'!H:H)*_xlfn.XLOOKUP(B26,'Normal loads_2'!A:A,'Normal loads_2'!J:J)*(1-(Max_shearforce_2!E26/Max_shearforce_2!F26))/(2*Max_shearforce_2!D26))</f>
        <v>20956.468243095438</v>
      </c>
      <c r="H26" s="57">
        <f t="shared" ca="1" si="1"/>
        <v>2.15</v>
      </c>
      <c r="I26" s="53">
        <f t="shared" ca="1" si="2"/>
        <v>9747.1945316722977</v>
      </c>
      <c r="J26" s="53">
        <f ca="1">IF(D26="","",_xlfn.XLOOKUP(B26,'Normal loads_2'!A:A,'Normal loads_2'!J:J)/_xlfn.XLOOKUP(Max_shearforce_2!B26,'Pier geometry_2'!A:A,'Pier geometry_2'!H:H)/_xlfn.XLOOKUP(B26,'Pier geometry_2'!A:A,'Pier geometry_2'!I:I))</f>
        <v>209281.13475342185</v>
      </c>
      <c r="K26" s="53">
        <f ca="1">IF(J26="","",(J26*_xlfn.XLOOKUP(B26,'Pier geometry_2'!A:A,'Pier geometry_2'!H:H)^2*_xlfn.XLOOKUP(B26,'Pier geometry_2'!A:A,'Pier geometry_2'!I:I)/2)*(1-(J26/(0.85*'Material properties'!$H$14))))</f>
        <v>55883.915314921163</v>
      </c>
      <c r="L26" s="57">
        <f ca="1">IF(K26="","",3*_xlfn.XLOOKUP(B26,'Pier geometry_2'!A:A,'Pier geometry_2'!H:H)*(0.5-(K26/(_xlfn.XLOOKUP(B26,'Normal loads_2'!A:A,'Normal loads_2'!J:J)*_xlfn.XLOOKUP(B26,'Pier geometry_2'!A:A,'Pier geometry_2'!H:H)))))</f>
        <v>0.33181062265593081</v>
      </c>
      <c r="M26" s="53">
        <f ca="1">IF(K26="","",L26*_xlfn.XLOOKUP(B26,'Pier geometry_2'!A:A,'Pier geometry_2'!I:I)*('Material properties'!$G$24+('Material properties'!$H$18*_xlfn.XLOOKUP(B26,'Normal loads_2'!A:A,'Normal loads_2'!J:J)/Max_shearforce_2!L26/_xlfn.XLOOKUP(B26,'Pier geometry_2'!A:A,'Pier geometry_2'!I:I))))</f>
        <v>81736.016714244266</v>
      </c>
      <c r="N26" s="57">
        <f t="shared" ca="1" si="3"/>
        <v>1.65</v>
      </c>
      <c r="O26" s="53">
        <f t="shared" ca="1" si="4"/>
        <v>49536.979826814706</v>
      </c>
      <c r="P26" s="53">
        <f t="shared" ca="1" si="5"/>
        <v>9747.1945316722977</v>
      </c>
      <c r="Q26" s="65" t="str">
        <f t="shared" ca="1" si="6"/>
        <v>Flexure</v>
      </c>
      <c r="R26" s="53">
        <f t="shared" ca="1" si="7"/>
        <v>7797.7556253378389</v>
      </c>
    </row>
    <row r="27" spans="1:18" x14ac:dyDescent="0.3">
      <c r="A27" s="65">
        <v>27</v>
      </c>
      <c r="B27" s="65">
        <v>110</v>
      </c>
      <c r="C27" s="65">
        <v>103</v>
      </c>
      <c r="D27" s="57">
        <f>IF(B27="","",(_xlfn.XLOOKUP(C27,'Pier geometry_2'!A:A,'Pier geometry_2'!D:D)+_xlfn.XLOOKUP(B27,'Pier geometry_2'!A:A,'Pier geometry_2'!D:D))*2/3)</f>
        <v>2.6666666666666665</v>
      </c>
      <c r="E27" s="54">
        <f ca="1">IF(D27="","",_xlfn.XLOOKUP(B27,'Normal loads_2'!A:A,'Normal loads_2'!J:J)/'Material properties'!$H$14/_xlfn.XLOOKUP(Max_shearforce_2!B27,'Pier geometry_2'!A:A,'Pier geometry_2'!H:H)/_xlfn.XLOOKUP(B27,'Pier geometry_2'!A:A,'Pier geometry_2'!I:I))</f>
        <v>0.11383484998764226</v>
      </c>
      <c r="F27" s="57">
        <f t="shared" ca="1" si="0"/>
        <v>0.85</v>
      </c>
      <c r="G27" s="53">
        <f ca="1">IF(F27="","",_xlfn.XLOOKUP(B27,'Pier geometry_2'!A:A,'Pier geometry_2'!H:H)*_xlfn.XLOOKUP(B27,'Normal loads_2'!A:A,'Normal loads_2'!J:J)*(1-(Max_shearforce_2!E27/Max_shearforce_2!F27))/(2*Max_shearforce_2!D27))</f>
        <v>179945.92992628782</v>
      </c>
      <c r="H27" s="57">
        <f t="shared" ca="1" si="1"/>
        <v>2.15</v>
      </c>
      <c r="I27" s="53">
        <f t="shared" ca="1" si="2"/>
        <v>83695.781361064102</v>
      </c>
      <c r="J27" s="53">
        <f ca="1">IF(D27="","",_xlfn.XLOOKUP(B27,'Normal loads_2'!A:A,'Normal loads_2'!J:J)/_xlfn.XLOOKUP(Max_shearforce_2!B27,'Pier geometry_2'!A:A,'Pier geometry_2'!H:H)/_xlfn.XLOOKUP(B27,'Pier geometry_2'!A:A,'Pier geometry_2'!I:I))</f>
        <v>145708.60798418208</v>
      </c>
      <c r="K27" s="53">
        <f ca="1">IF(J27="","",(J27*_xlfn.XLOOKUP(B27,'Pier geometry_2'!A:A,'Pier geometry_2'!H:H)^2*_xlfn.XLOOKUP(B27,'Pier geometry_2'!A:A,'Pier geometry_2'!I:I)/2)*(1-(J27/(0.85*'Material properties'!$H$14))))</f>
        <v>479855.81313676748</v>
      </c>
      <c r="L27" s="57">
        <f ca="1">IF(K27="","",3*_xlfn.XLOOKUP(B27,'Pier geometry_2'!A:A,'Pier geometry_2'!H:H)*(0.5-(K27/(_xlfn.XLOOKUP(B27,'Normal loads_2'!A:A,'Normal loads_2'!J:J)*_xlfn.XLOOKUP(B27,'Pier geometry_2'!A:A,'Pier geometry_2'!H:H)))))</f>
        <v>0.78345161462083179</v>
      </c>
      <c r="M27" s="53">
        <f ca="1">IF(K27="","",L27*_xlfn.XLOOKUP(B27,'Pier geometry_2'!A:A,'Pier geometry_2'!I:I)*('Material properties'!$G$24+('Material properties'!$H$18*_xlfn.XLOOKUP(B27,'Normal loads_2'!A:A,'Normal loads_2'!J:J)/Max_shearforce_2!L27/_xlfn.XLOOKUP(B27,'Pier geometry_2'!A:A,'Pier geometry_2'!I:I))))</f>
        <v>192990.24773493159</v>
      </c>
      <c r="N27" s="57">
        <f t="shared" ca="1" si="3"/>
        <v>1.65</v>
      </c>
      <c r="O27" s="53">
        <f t="shared" ca="1" si="4"/>
        <v>116963.78650601915</v>
      </c>
      <c r="P27" s="53">
        <f t="shared" ca="1" si="5"/>
        <v>83695.781361064102</v>
      </c>
      <c r="Q27" s="65" t="str">
        <f t="shared" ca="1" si="6"/>
        <v>Flexure</v>
      </c>
      <c r="R27" s="53">
        <f t="shared" ca="1" si="7"/>
        <v>66956.625088851288</v>
      </c>
    </row>
    <row r="28" spans="1:18" x14ac:dyDescent="0.3">
      <c r="A28" s="65">
        <v>28</v>
      </c>
      <c r="B28" s="65">
        <v>111</v>
      </c>
      <c r="C28" s="65">
        <v>104</v>
      </c>
      <c r="D28" s="57">
        <f>IF(B28="","",(_xlfn.XLOOKUP(C28,'Pier geometry_2'!A:A,'Pier geometry_2'!D:D)+_xlfn.XLOOKUP(B28,'Pier geometry_2'!A:A,'Pier geometry_2'!D:D))*2/3)</f>
        <v>2.6666666666666665</v>
      </c>
      <c r="E28" s="54">
        <f ca="1">IF(D28="","",_xlfn.XLOOKUP(B28,'Normal loads_2'!A:A,'Normal loads_2'!J:J)/'Material properties'!$H$14/_xlfn.XLOOKUP(Max_shearforce_2!B28,'Pier geometry_2'!A:A,'Pier geometry_2'!H:H)/_xlfn.XLOOKUP(B28,'Pier geometry_2'!A:A,'Pier geometry_2'!I:I))</f>
        <v>7.6331558295964122E-2</v>
      </c>
      <c r="F28" s="57">
        <f t="shared" ca="1" si="0"/>
        <v>0.85</v>
      </c>
      <c r="G28" s="53">
        <f ca="1">IF(F28="","",_xlfn.XLOOKUP(B28,'Pier geometry_2'!A:A,'Pier geometry_2'!H:H)*_xlfn.XLOOKUP(B28,'Normal loads_2'!A:A,'Normal loads_2'!J:J)*(1-(Max_shearforce_2!E28/Max_shearforce_2!F28))/(2*Max_shearforce_2!D28))</f>
        <v>41460.167955827208</v>
      </c>
      <c r="H28" s="57">
        <f t="shared" ca="1" si="1"/>
        <v>2.15</v>
      </c>
      <c r="I28" s="53">
        <f t="shared" ca="1" si="2"/>
        <v>19283.799049221958</v>
      </c>
      <c r="J28" s="53">
        <f ca="1">IF(D28="","",_xlfn.XLOOKUP(B28,'Normal loads_2'!A:A,'Normal loads_2'!J:J)/_xlfn.XLOOKUP(Max_shearforce_2!B28,'Pier geometry_2'!A:A,'Pier geometry_2'!H:H)/_xlfn.XLOOKUP(B28,'Pier geometry_2'!A:A,'Pier geometry_2'!I:I))</f>
        <v>97704.394618834078</v>
      </c>
      <c r="K28" s="53">
        <f ca="1">IF(J28="","",(J28*_xlfn.XLOOKUP(B28,'Pier geometry_2'!A:A,'Pier geometry_2'!H:H)^2*_xlfn.XLOOKUP(B28,'Pier geometry_2'!A:A,'Pier geometry_2'!I:I)/2)*(1-(J28/(0.85*'Material properties'!$H$14))))</f>
        <v>110560.44788220589</v>
      </c>
      <c r="L28" s="57">
        <f ca="1">IF(K28="","",3*_xlfn.XLOOKUP(B28,'Pier geometry_2'!A:A,'Pier geometry_2'!H:H)*(0.5-(K28/(_xlfn.XLOOKUP(B28,'Normal loads_2'!A:A,'Normal loads_2'!J:J)*_xlfn.XLOOKUP(B28,'Pier geometry_2'!A:A,'Pier geometry_2'!H:H)))))</f>
        <v>0.30038713235294068</v>
      </c>
      <c r="M28" s="53">
        <f ca="1">IF(K28="","",L28*_xlfn.XLOOKUP(B28,'Pier geometry_2'!A:A,'Pier geometry_2'!I:I)*('Material properties'!$G$24+('Material properties'!$H$18*_xlfn.XLOOKUP(B28,'Normal loads_2'!A:A,'Normal loads_2'!J:J)/Max_shearforce_2!L28/_xlfn.XLOOKUP(B28,'Pier geometry_2'!A:A,'Pier geometry_2'!I:I))))</f>
        <v>73995.363602941143</v>
      </c>
      <c r="N28" s="57">
        <f t="shared" ca="1" si="3"/>
        <v>1.65</v>
      </c>
      <c r="O28" s="53">
        <f t="shared" ca="1" si="4"/>
        <v>44845.674910873422</v>
      </c>
      <c r="P28" s="53">
        <f t="shared" ca="1" si="5"/>
        <v>19283.799049221958</v>
      </c>
      <c r="Q28" s="65" t="str">
        <f t="shared" ca="1" si="6"/>
        <v>Flexure</v>
      </c>
      <c r="R28" s="53">
        <f t="shared" ca="1" si="7"/>
        <v>15427.039239377567</v>
      </c>
    </row>
    <row r="29" spans="1:18" x14ac:dyDescent="0.3">
      <c r="A29"/>
      <c r="B29"/>
      <c r="C29"/>
      <c r="D29" t="str">
        <f>IF(B29="","",(_xlfn.XLOOKUP(C29,'Pier geometry_2'!A:A,'Pier geometry_2'!D:D)+_xlfn.XLOOKUP(B29,'Pier geometry_2'!A:A,'Pier geometry_2'!D:D))*2/3)</f>
        <v/>
      </c>
      <c r="E29" t="str">
        <f>IF(D29="","",_xlfn.XLOOKUP(B29,'Normal loads_2'!A:A,'Normal loads_2'!J:J)/'Material properties'!$H$14/_xlfn.XLOOKUP(Max_shearforce_2!B29,'Pier geometry_2'!A:A,'Pier geometry_2'!H:H)/_xlfn.XLOOKUP(B29,'Pier geometry_2'!A:A,'Pier geometry_2'!I:I))</f>
        <v/>
      </c>
      <c r="F29" t="str">
        <f t="shared" si="0"/>
        <v/>
      </c>
      <c r="G29" t="str">
        <f>IF(F29="","",_xlfn.XLOOKUP(B29,'Pier geometry_2'!A:A,'Pier geometry_2'!H:H)*_xlfn.XLOOKUP(B29,'Normal loads_2'!A:A,'Normal loads_2'!J:J)*(1-(Max_shearforce_2!E29/Max_shearforce_2!F29))/(2*Max_shearforce_2!D29))</f>
        <v/>
      </c>
      <c r="H29" t="str">
        <f t="shared" si="1"/>
        <v/>
      </c>
      <c r="I29" t="str">
        <f t="shared" si="2"/>
        <v/>
      </c>
      <c r="J29" t="str">
        <f>IF(D29="","",_xlfn.XLOOKUP(B29,'Normal loads_2'!A:A,'Normal loads_2'!J:J)/_xlfn.XLOOKUP(Max_shearforce_2!B29,'Pier geometry_2'!A:A,'Pier geometry_2'!H:H)/_xlfn.XLOOKUP(B29,'Pier geometry_2'!A:A,'Pier geometry_2'!I:I))</f>
        <v/>
      </c>
      <c r="K29" t="str">
        <f>IF(J29="","",(J29*_xlfn.XLOOKUP(B29,'Pier geometry_2'!A:A,'Pier geometry_2'!H:H)^2*_xlfn.XLOOKUP(B29,'Pier geometry_2'!A:A,'Pier geometry_2'!I:I)/2)*(1-(J29/(0.85*'Material properties'!$H$14))))</f>
        <v/>
      </c>
      <c r="L29" t="str">
        <f>IF(K29="","",3*_xlfn.XLOOKUP(B29,'Pier geometry_2'!A:A,'Pier geometry_2'!H:H)*(0.5-(K29/(_xlfn.XLOOKUP(B29,'Normal loads_2'!A:A,'Normal loads_2'!J:J)*_xlfn.XLOOKUP(B29,'Pier geometry_2'!A:A,'Pier geometry_2'!H:H)))))</f>
        <v/>
      </c>
      <c r="M29" t="str">
        <f>IF(K29="","",L29*_xlfn.XLOOKUP(B29,'Pier geometry_2'!A:A,'Pier geometry_2'!I:I)*('Material properties'!$G$24+('Material properties'!$H$18*_xlfn.XLOOKUP(B29,'Normal loads_2'!A:A,'Normal loads_2'!J:J)/Max_shearforce_2!L29/_xlfn.XLOOKUP(B29,'Pier geometry_2'!A:A,'Pier geometry_2'!I:I))))</f>
        <v/>
      </c>
      <c r="N29" t="str">
        <f t="shared" si="3"/>
        <v/>
      </c>
      <c r="O29" t="str">
        <f t="shared" si="4"/>
        <v/>
      </c>
      <c r="P29" t="str">
        <f t="shared" si="5"/>
        <v/>
      </c>
      <c r="Q29" t="str">
        <f t="shared" si="6"/>
        <v/>
      </c>
      <c r="R29" t="str">
        <f t="shared" si="7"/>
        <v/>
      </c>
    </row>
    <row r="30" spans="1:18" x14ac:dyDescent="0.3">
      <c r="A30" s="37" t="s">
        <v>44</v>
      </c>
      <c r="B30"/>
      <c r="C30"/>
      <c r="D30" t="str">
        <f>IF(B30="","",(_xlfn.XLOOKUP(C30,'Pier geometry_2'!A:A,'Pier geometry_2'!D:D)+_xlfn.XLOOKUP(B30,'Pier geometry_2'!A:A,'Pier geometry_2'!D:D))*2/3)</f>
        <v/>
      </c>
      <c r="E30" t="str">
        <f>IF(D30="","",_xlfn.XLOOKUP(B30,'Normal loads_2'!A:A,'Normal loads_2'!J:J)/'Material properties'!$H$14/_xlfn.XLOOKUP(Max_shearforce_2!B30,'Pier geometry_2'!A:A,'Pier geometry_2'!H:H)/_xlfn.XLOOKUP(B30,'Pier geometry_2'!A:A,'Pier geometry_2'!I:I))</f>
        <v/>
      </c>
      <c r="F30" t="str">
        <f t="shared" si="0"/>
        <v/>
      </c>
      <c r="G30" t="str">
        <f>IF(F30="","",_xlfn.XLOOKUP(B30,'Pier geometry_2'!A:A,'Pier geometry_2'!H:H)*_xlfn.XLOOKUP(B30,'Normal loads_2'!A:A,'Normal loads_2'!J:J)*(1-(Max_shearforce_2!E30/Max_shearforce_2!F30))/(2*Max_shearforce_2!D30))</f>
        <v/>
      </c>
      <c r="H30" t="str">
        <f t="shared" si="1"/>
        <v/>
      </c>
      <c r="I30" t="str">
        <f t="shared" si="2"/>
        <v/>
      </c>
      <c r="J30" t="str">
        <f>IF(D30="","",_xlfn.XLOOKUP(B30,'Normal loads_2'!A:A,'Normal loads_2'!J:J)/_xlfn.XLOOKUP(Max_shearforce_2!B30,'Pier geometry_2'!A:A,'Pier geometry_2'!H:H)/_xlfn.XLOOKUP(B30,'Pier geometry_2'!A:A,'Pier geometry_2'!I:I))</f>
        <v/>
      </c>
      <c r="K30" t="str">
        <f>IF(J30="","",(J30*_xlfn.XLOOKUP(B30,'Pier geometry_2'!A:A,'Pier geometry_2'!H:H)^2*_xlfn.XLOOKUP(B30,'Pier geometry_2'!A:A,'Pier geometry_2'!I:I)/2)*(1-(J30/(0.85*'Material properties'!$H$14))))</f>
        <v/>
      </c>
      <c r="L30" t="str">
        <f>IF(K30="","",3*_xlfn.XLOOKUP(B30,'Pier geometry_2'!A:A,'Pier geometry_2'!H:H)*(0.5-(K30/(_xlfn.XLOOKUP(B30,'Normal loads_2'!A:A,'Normal loads_2'!J:J)*_xlfn.XLOOKUP(B30,'Pier geometry_2'!A:A,'Pier geometry_2'!H:H)))))</f>
        <v/>
      </c>
      <c r="M30" t="str">
        <f>IF(K30="","",L30*_xlfn.XLOOKUP(B30,'Pier geometry_2'!A:A,'Pier geometry_2'!I:I)*('Material properties'!$G$24+('Material properties'!$H$18*_xlfn.XLOOKUP(B30,'Normal loads_2'!A:A,'Normal loads_2'!J:J)/Max_shearforce_2!L30/_xlfn.XLOOKUP(B30,'Pier geometry_2'!A:A,'Pier geometry_2'!I:I))))</f>
        <v/>
      </c>
      <c r="N30" t="str">
        <f t="shared" si="3"/>
        <v/>
      </c>
      <c r="O30" t="str">
        <f t="shared" si="4"/>
        <v/>
      </c>
      <c r="P30" t="str">
        <f t="shared" si="5"/>
        <v/>
      </c>
      <c r="Q30" t="str">
        <f t="shared" si="6"/>
        <v/>
      </c>
      <c r="R30" t="str">
        <f t="shared" si="7"/>
        <v/>
      </c>
    </row>
    <row r="31" spans="1:18" x14ac:dyDescent="0.3">
      <c r="A31" s="65">
        <v>31</v>
      </c>
      <c r="B31" s="65">
        <v>119</v>
      </c>
      <c r="C31" s="65">
        <v>118</v>
      </c>
      <c r="D31" s="57">
        <f>IF(B31="","",(_xlfn.XLOOKUP(C31,'Pier geometry_2'!A:A,'Pier geometry_2'!D:D)+_xlfn.XLOOKUP(B31,'Pier geometry_2'!A:A,'Pier geometry_2'!D:D))*2/3)</f>
        <v>4.0666666666666664</v>
      </c>
      <c r="E31" s="54">
        <f ca="1">IF(D31="","",_xlfn.XLOOKUP(B31,'Normal loads_2'!A:A,'Normal loads_2'!J:J)/'Material properties'!$H$14/_xlfn.XLOOKUP(Max_shearforce_2!B31,'Pier geometry_2'!A:A,'Pier geometry_2'!H:H)/_xlfn.XLOOKUP(B31,'Pier geometry_2'!A:A,'Pier geometry_2'!I:I))</f>
        <v>0.12196914300629683</v>
      </c>
      <c r="F31" s="57">
        <f t="shared" ca="1" si="0"/>
        <v>0.85</v>
      </c>
      <c r="G31" s="53">
        <f ca="1">IF(F31="","",_xlfn.XLOOKUP(B31,'Pier geometry_2'!A:A,'Pier geometry_2'!H:H)*_xlfn.XLOOKUP(B31,'Normal loads_2'!A:A,'Normal loads_2'!J:J)*(1-(Max_shearforce_2!E31/Max_shearforce_2!F31))/(2*Max_shearforce_2!D31))</f>
        <v>43502.28521321014</v>
      </c>
      <c r="H31" s="57">
        <f t="shared" ca="1" si="1"/>
        <v>2.15</v>
      </c>
      <c r="I31" s="53">
        <f t="shared" ca="1" si="2"/>
        <v>20233.621029400067</v>
      </c>
      <c r="J31" s="53">
        <f ca="1">IF(D31="","",_xlfn.XLOOKUP(B31,'Normal loads_2'!A:A,'Normal loads_2'!J:J)/_xlfn.XLOOKUP(Max_shearforce_2!B31,'Pier geometry_2'!A:A,'Pier geometry_2'!H:H)/_xlfn.XLOOKUP(B31,'Pier geometry_2'!A:A,'Pier geometry_2'!I:I))</f>
        <v>156120.50304805994</v>
      </c>
      <c r="K31" s="53">
        <f ca="1">IF(J31="","",(J31*_xlfn.XLOOKUP(B31,'Pier geometry_2'!A:A,'Pier geometry_2'!H:H)^2*_xlfn.XLOOKUP(B31,'Pier geometry_2'!A:A,'Pier geometry_2'!I:I)/2)*(1-(J31/(0.85*'Material properties'!$H$14))))</f>
        <v>176909.29320038791</v>
      </c>
      <c r="L31" s="57">
        <f ca="1">IF(K31="","",3*_xlfn.XLOOKUP(B31,'Pier geometry_2'!A:A,'Pier geometry_2'!H:H)*(0.5-(K31/(_xlfn.XLOOKUP(B31,'Normal loads_2'!A:A,'Normal loads_2'!J:J)*_xlfn.XLOOKUP(B31,'Pier geometry_2'!A:A,'Pier geometry_2'!H:H)))))</f>
        <v>0.45200329467039374</v>
      </c>
      <c r="M31" s="53">
        <f ca="1">IF(K31="","",L31*_xlfn.XLOOKUP(B31,'Pier geometry_2'!A:A,'Pier geometry_2'!I:I)*('Material properties'!$G$24+('Material properties'!$H$18*_xlfn.XLOOKUP(B31,'Normal loads_2'!A:A,'Normal loads_2'!J:J)/Max_shearforce_2!L31/_xlfn.XLOOKUP(B31,'Pier geometry_2'!A:A,'Pier geometry_2'!I:I))))</f>
        <v>133612.17390456848</v>
      </c>
      <c r="N31" s="57">
        <f t="shared" ca="1" si="3"/>
        <v>1.65</v>
      </c>
      <c r="O31" s="53">
        <f t="shared" ca="1" si="4"/>
        <v>80977.075093677879</v>
      </c>
      <c r="P31" s="53">
        <f t="shared" ca="1" si="5"/>
        <v>20233.621029400067</v>
      </c>
      <c r="Q31" s="65" t="str">
        <f t="shared" ca="1" si="6"/>
        <v>Flexure</v>
      </c>
      <c r="R31" s="53">
        <f t="shared" ca="1" si="7"/>
        <v>16186.896823520054</v>
      </c>
    </row>
    <row r="32" spans="1:18" x14ac:dyDescent="0.3">
      <c r="A32"/>
      <c r="B32"/>
      <c r="C32"/>
      <c r="D32" s="1"/>
      <c r="E32" s="2"/>
      <c r="F32" s="1"/>
      <c r="G32" s="10"/>
      <c r="H32" s="1"/>
      <c r="I32" s="10"/>
      <c r="J32" s="2"/>
      <c r="K32" s="2"/>
      <c r="L32" s="1"/>
      <c r="N32" t="str">
        <f>IF(M32="","",1.65)</f>
        <v/>
      </c>
      <c r="O32" s="10"/>
      <c r="P32" s="10"/>
    </row>
    <row r="33" spans="1:18" x14ac:dyDescent="0.3">
      <c r="A33" s="37" t="s">
        <v>45</v>
      </c>
      <c r="B33"/>
      <c r="C33"/>
      <c r="D33" s="1"/>
      <c r="E33" s="2"/>
      <c r="F33" s="1"/>
      <c r="G33" s="10"/>
      <c r="H33" s="1"/>
      <c r="I33" s="10"/>
      <c r="J33" s="2"/>
      <c r="K33" s="2"/>
      <c r="L33" s="1"/>
      <c r="N33" t="str">
        <f t="shared" si="3"/>
        <v/>
      </c>
      <c r="O33" s="10"/>
    </row>
    <row r="34" spans="1:18" x14ac:dyDescent="0.3">
      <c r="A34" s="65">
        <v>32</v>
      </c>
      <c r="B34" s="65">
        <v>121</v>
      </c>
      <c r="C34" s="65">
        <v>120</v>
      </c>
      <c r="D34" s="57">
        <f>IF(B34="","",(_xlfn.XLOOKUP(C34,'Pier geometry_2'!A:A,'Pier geometry_2'!D:D)+_xlfn.XLOOKUP(B34,'Pier geometry_2'!A:A,'Pier geometry_2'!D:D))*2/3)</f>
        <v>4.0666666666666664</v>
      </c>
      <c r="E34" s="54">
        <f ca="1">IF(D34="","",_xlfn.XLOOKUP(B34,'Normal loads_2'!A:A,'Normal loads_2'!J:J)/'Material properties'!$H$14/_xlfn.XLOOKUP(Max_shearforce_2!B34,'Pier geometry_2'!A:A,'Pier geometry_2'!H:H)/_xlfn.XLOOKUP(B34,'Pier geometry_2'!A:A,'Pier geometry_2'!I:I))</f>
        <v>8.384877841263276E-2</v>
      </c>
      <c r="F34" s="57">
        <f t="shared" ref="F34" ca="1" si="8">IF(E34="","",0.85)</f>
        <v>0.85</v>
      </c>
      <c r="G34" s="53">
        <f ca="1">IF(F34="","",_xlfn.XLOOKUP(B34,'Pier geometry_2'!A:A,'Pier geometry_2'!H:H)*_xlfn.XLOOKUP(B34,'Normal loads_2'!A:A,'Normal loads_2'!J:J)*(1-(Max_shearforce_2!E34/Max_shearforce_2!F34))/(2*Max_shearforce_2!D34))</f>
        <v>105780.69592094439</v>
      </c>
      <c r="H34" s="57">
        <f t="shared" ref="H34" ca="1" si="9">IF(G34="","",2.15)</f>
        <v>2.15</v>
      </c>
      <c r="I34" s="53">
        <f t="shared" ref="I34" ca="1" si="10">IF(G34="","",G34/H34)</f>
        <v>49200.323684160183</v>
      </c>
      <c r="J34" s="53">
        <f ca="1">IF(D34="","",_xlfn.XLOOKUP(B34,'Normal loads_2'!A:A,'Normal loads_2'!J:J)/_xlfn.XLOOKUP(Max_shearforce_2!B34,'Pier geometry_2'!A:A,'Pier geometry_2'!H:H)/_xlfn.XLOOKUP(B34,'Pier geometry_2'!A:A,'Pier geometry_2'!I:I))</f>
        <v>107326.43636816992</v>
      </c>
      <c r="K34" s="53">
        <f ca="1">IF(J34="","",(J34*_xlfn.XLOOKUP(B34,'Pier geometry_2'!A:A,'Pier geometry_2'!H:H)^2*_xlfn.XLOOKUP(B34,'Pier geometry_2'!A:A,'Pier geometry_2'!I:I)/2)*(1-(J34/(0.85*'Material properties'!$H$14))))</f>
        <v>430174.83007850713</v>
      </c>
      <c r="L34" s="57">
        <f ca="1">IF(K34="","",3*_xlfn.XLOOKUP(B34,'Pier geometry_2'!A:A,'Pier geometry_2'!H:H)*(0.5-(K34/(_xlfn.XLOOKUP(B34,'Normal loads_2'!A:A,'Normal loads_2'!J:J)*_xlfn.XLOOKUP(B34,'Pier geometry_2'!A:A,'Pier geometry_2'!H:H)))))</f>
        <v>0.56967846509759335</v>
      </c>
      <c r="M34" s="53">
        <f ca="1">IF(K34="","",L34*_xlfn.XLOOKUP(B34,'Pier geometry_2'!A:A,'Pier geometry_2'!I:I)*('Material properties'!$G$24+('Material properties'!$H$18*_xlfn.XLOOKUP(B34,'Normal loads_2'!A:A,'Normal loads_2'!J:J)/Max_shearforce_2!L34/_xlfn.XLOOKUP(B34,'Pier geometry_2'!A:A,'Pier geometry_2'!I:I))))</f>
        <v>168396.95428284854</v>
      </c>
      <c r="N34" s="57">
        <f t="shared" ca="1" si="3"/>
        <v>1.65</v>
      </c>
      <c r="O34" s="53">
        <f t="shared" ref="O34" ca="1" si="11">IF(M34="","",M34/N34)</f>
        <v>102058.76017142336</v>
      </c>
      <c r="P34" s="53">
        <f t="shared" ref="P34" ca="1" si="12">IF(O34="","",MIN(I34,O34))</f>
        <v>49200.323684160183</v>
      </c>
      <c r="Q34" s="65" t="str">
        <f t="shared" ref="Q34" ca="1" si="13">IF(P34="","",IF(P34=I34,"Flexure","Shear"))</f>
        <v>Flexure</v>
      </c>
      <c r="R34" s="53">
        <f t="shared" ref="R34" ca="1" si="14">IF(P34="","",P34*0.8)</f>
        <v>39360.258947328148</v>
      </c>
    </row>
    <row r="35" spans="1:18" x14ac:dyDescent="0.3">
      <c r="A35"/>
      <c r="B35"/>
      <c r="C35"/>
      <c r="D35"/>
      <c r="E35"/>
    </row>
    <row r="36" spans="1:18" x14ac:dyDescent="0.3">
      <c r="A36"/>
      <c r="B36"/>
      <c r="C36"/>
      <c r="D36"/>
      <c r="E36"/>
    </row>
    <row r="37" spans="1:18" x14ac:dyDescent="0.3">
      <c r="A37"/>
      <c r="B37"/>
      <c r="C37"/>
      <c r="D37"/>
      <c r="E37"/>
    </row>
    <row r="38" spans="1:18" x14ac:dyDescent="0.3">
      <c r="A38"/>
      <c r="B38"/>
      <c r="C38"/>
      <c r="D38"/>
      <c r="E38"/>
    </row>
    <row r="39" spans="1:18" x14ac:dyDescent="0.3">
      <c r="A39"/>
      <c r="B39"/>
      <c r="C39"/>
      <c r="D39"/>
      <c r="E39"/>
    </row>
    <row r="40" spans="1:18" x14ac:dyDescent="0.3">
      <c r="A40"/>
      <c r="B40"/>
      <c r="C40"/>
      <c r="D40"/>
      <c r="E40"/>
    </row>
    <row r="41" spans="1:18" x14ac:dyDescent="0.3">
      <c r="A41"/>
      <c r="B41"/>
      <c r="C41"/>
      <c r="D41"/>
      <c r="E41"/>
    </row>
    <row r="42" spans="1:18" x14ac:dyDescent="0.3">
      <c r="A42"/>
      <c r="B42"/>
      <c r="C42"/>
      <c r="D42"/>
      <c r="E42"/>
    </row>
    <row r="43" spans="1:18" x14ac:dyDescent="0.3">
      <c r="A43"/>
      <c r="B43"/>
      <c r="C43"/>
      <c r="D43"/>
      <c r="E43"/>
    </row>
    <row r="44" spans="1:18" x14ac:dyDescent="0.3">
      <c r="A44"/>
      <c r="B44"/>
      <c r="C44"/>
      <c r="D44"/>
      <c r="E44"/>
    </row>
    <row r="45" spans="1:18" x14ac:dyDescent="0.3">
      <c r="A45"/>
      <c r="B45"/>
      <c r="C45"/>
      <c r="D45"/>
      <c r="E45"/>
    </row>
    <row r="46" spans="1:18" x14ac:dyDescent="0.3">
      <c r="A46"/>
      <c r="B46"/>
      <c r="C46"/>
      <c r="D46"/>
      <c r="E46"/>
    </row>
    <row r="47" spans="1:18" x14ac:dyDescent="0.3">
      <c r="A47"/>
      <c r="B47"/>
      <c r="C47"/>
      <c r="D47"/>
      <c r="E47"/>
    </row>
    <row r="48" spans="1:18" x14ac:dyDescent="0.3">
      <c r="A48"/>
      <c r="B48"/>
      <c r="C48"/>
      <c r="D48"/>
      <c r="E48"/>
    </row>
    <row r="49" spans="1:17" x14ac:dyDescent="0.3">
      <c r="A49"/>
      <c r="B49"/>
      <c r="C49"/>
      <c r="D49"/>
      <c r="E49"/>
    </row>
    <row r="50" spans="1:17" x14ac:dyDescent="0.3">
      <c r="A50" s="10"/>
      <c r="B50" s="10"/>
      <c r="C50" s="10"/>
      <c r="D50" s="10"/>
      <c r="E50" s="10"/>
      <c r="F50" s="2"/>
      <c r="G50" s="2"/>
      <c r="H50" s="2"/>
      <c r="I50" s="10"/>
      <c r="J50" s="10"/>
      <c r="K50" s="10"/>
      <c r="L50" s="10"/>
      <c r="M50" s="10"/>
      <c r="N50" s="10"/>
      <c r="Q50" s="66"/>
    </row>
    <row r="51" spans="1:17" x14ac:dyDescent="0.3">
      <c r="F51" s="2"/>
      <c r="G51" s="2"/>
      <c r="H51" s="2"/>
      <c r="I51" s="10"/>
      <c r="J51" s="10"/>
      <c r="K51" s="10"/>
      <c r="L51" s="10"/>
      <c r="M51" s="10"/>
      <c r="N51" s="10"/>
    </row>
    <row r="52" spans="1:17" x14ac:dyDescent="0.3">
      <c r="F52" s="2"/>
      <c r="G52" s="2"/>
      <c r="H52" s="2"/>
    </row>
    <row r="53" spans="1:17" x14ac:dyDescent="0.3">
      <c r="F53" s="2"/>
      <c r="G53" s="2"/>
      <c r="H53" s="2"/>
    </row>
    <row r="54" spans="1:17" x14ac:dyDescent="0.3">
      <c r="F54" s="2"/>
      <c r="G54" s="2"/>
      <c r="H54" s="2"/>
    </row>
    <row r="55" spans="1:17" x14ac:dyDescent="0.3">
      <c r="F55" s="2"/>
      <c r="G55" s="2"/>
      <c r="H55" s="2"/>
    </row>
    <row r="56" spans="1:17" x14ac:dyDescent="0.3">
      <c r="F56" s="2"/>
      <c r="G56" s="2"/>
      <c r="H56" s="2"/>
    </row>
    <row r="57" spans="1:17" x14ac:dyDescent="0.3">
      <c r="F57" s="2"/>
      <c r="G57" s="2"/>
      <c r="H57" s="2"/>
    </row>
    <row r="58" spans="1:17" x14ac:dyDescent="0.3">
      <c r="F58" s="2"/>
      <c r="G58" s="2"/>
      <c r="H58" s="2"/>
    </row>
    <row r="59" spans="1:17" x14ac:dyDescent="0.3">
      <c r="F59" s="2"/>
      <c r="G59" s="2"/>
      <c r="H59" s="2"/>
    </row>
    <row r="60" spans="1:17" x14ac:dyDescent="0.3">
      <c r="F60" s="2"/>
      <c r="G60" s="2"/>
      <c r="H60" s="2"/>
    </row>
    <row r="61" spans="1:17" x14ac:dyDescent="0.3">
      <c r="F61" s="2"/>
      <c r="G61" s="2"/>
      <c r="H61" s="2"/>
    </row>
    <row r="62" spans="1:17" x14ac:dyDescent="0.3">
      <c r="F62" s="2"/>
      <c r="G62" s="2"/>
      <c r="H62" s="2"/>
    </row>
    <row r="63" spans="1:17" x14ac:dyDescent="0.3">
      <c r="F63" s="2"/>
      <c r="G63" s="2"/>
      <c r="H63" s="2"/>
    </row>
    <row r="64" spans="1:17" x14ac:dyDescent="0.3">
      <c r="F64" s="2"/>
      <c r="G64" s="2"/>
      <c r="H64" s="2"/>
    </row>
    <row r="65" spans="6:8" x14ac:dyDescent="0.3">
      <c r="F65" s="2"/>
      <c r="G65" s="2"/>
      <c r="H65" s="2"/>
    </row>
    <row r="66" spans="6:8" x14ac:dyDescent="0.3">
      <c r="F66" s="2"/>
      <c r="G66" s="2"/>
      <c r="H66" s="2"/>
    </row>
    <row r="67" spans="6:8" x14ac:dyDescent="0.3">
      <c r="F67" s="2"/>
      <c r="G67" s="2"/>
      <c r="H67" s="2"/>
    </row>
  </sheetData>
  <mergeCells count="1">
    <mergeCell ref="B4:D4"/>
  </mergeCells>
  <pageMargins left="0.7" right="0.7" top="0.78740157499999996" bottom="0.78740157499999996" header="0.3" footer="0.3"/>
  <pageSetup paperSize="9" scale="95" orientation="landscape" r:id="rId1"/>
  <headerFooter>
    <oddHeader>&amp;LMaster Thesis 2023/2024&amp;CSt. Lawrence Parish House,
Petrinja, Croatia&amp;R&amp;G</oddHeader>
    <oddFooter>&amp;L&amp;A&amp;CModel: Initial and Retrofitted State&amp;R&amp;P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5EC11-8821-447F-A838-36986E641E43}">
  <sheetPr codeName="Tabelle12">
    <tabColor theme="6"/>
  </sheetPr>
  <dimension ref="A1:AO67"/>
  <sheetViews>
    <sheetView view="pageLayout" topLeftCell="N30" zoomScale="70" zoomScaleNormal="85" zoomScalePageLayoutView="70" workbookViewId="0">
      <selection activeCell="AD36" sqref="AD36"/>
    </sheetView>
  </sheetViews>
  <sheetFormatPr baseColWidth="10" defaultColWidth="8.6640625" defaultRowHeight="14" x14ac:dyDescent="0.3"/>
  <cols>
    <col min="1" max="1" width="9.6640625" style="9" customWidth="1"/>
    <col min="2" max="3" width="6.6640625" style="9" customWidth="1"/>
    <col min="4" max="4" width="8.5" style="9" bestFit="1" customWidth="1"/>
    <col min="5" max="5" width="9.9140625" style="9" bestFit="1" customWidth="1"/>
    <col min="6" max="6" width="7.75" customWidth="1"/>
    <col min="7" max="7" width="8.5" customWidth="1"/>
    <col min="8" max="9" width="7.4140625" customWidth="1"/>
    <col min="10" max="11" width="8.58203125" customWidth="1"/>
    <col min="12" max="12" width="8.08203125" bestFit="1" customWidth="1"/>
    <col min="13" max="13" width="8.08203125" customWidth="1"/>
    <col min="14" max="14" width="10.6640625" customWidth="1"/>
    <col min="15" max="15" width="5.6640625" customWidth="1"/>
    <col min="16" max="16" width="5.6640625" bestFit="1" customWidth="1"/>
    <col min="17" max="26" width="7.83203125" bestFit="1" customWidth="1"/>
    <col min="27" max="28" width="7.33203125" customWidth="1"/>
  </cols>
  <sheetData>
    <row r="1" spans="1:41" ht="18" x14ac:dyDescent="0.4">
      <c r="A1" s="22" t="s">
        <v>146</v>
      </c>
      <c r="B1" s="22"/>
      <c r="C1" s="22"/>
      <c r="D1" s="16"/>
      <c r="E1" s="16"/>
      <c r="F1" s="16"/>
      <c r="G1" s="16"/>
      <c r="H1" s="16"/>
      <c r="I1" s="16"/>
      <c r="J1" s="16"/>
      <c r="K1" s="16"/>
      <c r="L1" s="16"/>
      <c r="M1" s="16"/>
      <c r="N1" s="22" t="s">
        <v>158</v>
      </c>
      <c r="O1" s="22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</row>
    <row r="2" spans="1:41" s="4" customFormat="1" x14ac:dyDescent="0.3"/>
    <row r="3" spans="1:41" s="4" customFormat="1" x14ac:dyDescent="0.3">
      <c r="A3" s="4" t="s">
        <v>0</v>
      </c>
      <c r="D3" s="4" t="s">
        <v>1</v>
      </c>
      <c r="N3" s="91" t="s">
        <v>166</v>
      </c>
      <c r="O3" s="4" t="s">
        <v>167</v>
      </c>
    </row>
    <row r="4" spans="1:41" s="4" customFormat="1" x14ac:dyDescent="0.3">
      <c r="A4" s="4" t="s">
        <v>2</v>
      </c>
      <c r="D4" s="93">
        <f ca="1">TODAY()</f>
        <v>45308</v>
      </c>
      <c r="E4" s="93"/>
      <c r="F4" s="5"/>
      <c r="G4" s="5"/>
      <c r="N4" s="91" t="s">
        <v>2</v>
      </c>
      <c r="O4" s="93">
        <f ca="1">TODAY()</f>
        <v>45308</v>
      </c>
      <c r="P4" s="93"/>
      <c r="AA4" s="5"/>
      <c r="AB4" s="5"/>
      <c r="AD4" s="93"/>
      <c r="AE4" s="93"/>
      <c r="AF4" s="5"/>
    </row>
    <row r="5" spans="1:41" s="4" customFormat="1" x14ac:dyDescent="0.3">
      <c r="A5" s="4" t="s">
        <v>3</v>
      </c>
      <c r="D5" s="4" t="s">
        <v>128</v>
      </c>
      <c r="N5" s="91" t="s">
        <v>3</v>
      </c>
      <c r="O5" s="4" t="s">
        <v>128</v>
      </c>
    </row>
    <row r="6" spans="1:41" s="4" customFormat="1" x14ac:dyDescent="0.3">
      <c r="F6" s="95" t="s">
        <v>135</v>
      </c>
      <c r="G6" s="95"/>
      <c r="H6" s="95" t="s">
        <v>113</v>
      </c>
      <c r="I6" s="95"/>
      <c r="J6" s="95"/>
      <c r="K6" s="27"/>
    </row>
    <row r="7" spans="1:41" ht="28.5" thickBot="1" x14ac:dyDescent="0.35">
      <c r="A7" s="61" t="s">
        <v>147</v>
      </c>
      <c r="B7" s="31" t="s">
        <v>148</v>
      </c>
      <c r="C7" s="31" t="s">
        <v>149</v>
      </c>
      <c r="D7" s="21" t="s">
        <v>110</v>
      </c>
      <c r="E7" s="21" t="s">
        <v>111</v>
      </c>
      <c r="F7" s="36" t="s">
        <v>64</v>
      </c>
      <c r="G7" s="31" t="s">
        <v>112</v>
      </c>
      <c r="H7" s="94" t="s">
        <v>151</v>
      </c>
      <c r="I7" s="94"/>
      <c r="J7" s="94" t="s">
        <v>152</v>
      </c>
      <c r="K7" s="94"/>
      <c r="L7" s="94" t="s">
        <v>157</v>
      </c>
      <c r="M7" s="94"/>
      <c r="N7" s="61" t="s">
        <v>147</v>
      </c>
      <c r="O7" s="20" t="s">
        <v>136</v>
      </c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</row>
    <row r="8" spans="1:41" ht="17" x14ac:dyDescent="0.45">
      <c r="A8"/>
      <c r="B8"/>
      <c r="C8"/>
      <c r="D8" s="46" t="s">
        <v>108</v>
      </c>
      <c r="E8" s="44" t="s">
        <v>109</v>
      </c>
      <c r="F8" s="47" t="s">
        <v>119</v>
      </c>
      <c r="G8" s="47" t="s">
        <v>134</v>
      </c>
      <c r="H8" t="s">
        <v>150</v>
      </c>
      <c r="I8" t="s">
        <v>150</v>
      </c>
      <c r="J8" t="s">
        <v>153</v>
      </c>
      <c r="K8" t="s">
        <v>153</v>
      </c>
      <c r="L8" s="38" t="s">
        <v>107</v>
      </c>
      <c r="M8" s="38" t="s">
        <v>107</v>
      </c>
      <c r="O8" s="79">
        <v>0</v>
      </c>
      <c r="P8" s="90">
        <v>1.5</v>
      </c>
      <c r="Q8" s="90">
        <v>1.7</v>
      </c>
      <c r="R8" s="90">
        <v>1.8</v>
      </c>
      <c r="S8" s="90">
        <v>2</v>
      </c>
      <c r="T8" s="90">
        <v>2.1</v>
      </c>
      <c r="U8" s="90">
        <v>2.2000000000000002</v>
      </c>
      <c r="V8" s="90">
        <v>2.2999999999999998</v>
      </c>
      <c r="W8" s="90">
        <v>3.2</v>
      </c>
      <c r="X8" s="90">
        <v>5.1000000000000005</v>
      </c>
      <c r="Y8" s="90">
        <v>5.2</v>
      </c>
      <c r="Z8" s="90">
        <v>26.1</v>
      </c>
      <c r="AA8" s="90">
        <v>26.200000000000003</v>
      </c>
      <c r="AB8" s="90">
        <v>39.699999999999996</v>
      </c>
    </row>
    <row r="9" spans="1:41" ht="16.5" thickBot="1" x14ac:dyDescent="0.35">
      <c r="A9" s="46" t="s">
        <v>36</v>
      </c>
      <c r="B9"/>
      <c r="C9"/>
      <c r="D9" s="46" t="s">
        <v>120</v>
      </c>
      <c r="E9" s="46" t="s">
        <v>121</v>
      </c>
      <c r="F9" s="46" t="s">
        <v>101</v>
      </c>
      <c r="G9" s="46" t="s">
        <v>101</v>
      </c>
      <c r="H9" s="46" t="s">
        <v>84</v>
      </c>
      <c r="I9" s="46" t="s">
        <v>118</v>
      </c>
      <c r="J9" s="46" t="s">
        <v>84</v>
      </c>
      <c r="K9" s="46" t="s">
        <v>118</v>
      </c>
      <c r="L9" s="46" t="s">
        <v>89</v>
      </c>
      <c r="M9" s="46" t="s">
        <v>117</v>
      </c>
      <c r="N9" s="46" t="s">
        <v>36</v>
      </c>
      <c r="O9" s="20" t="s">
        <v>159</v>
      </c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</row>
    <row r="10" spans="1:41" x14ac:dyDescent="0.3">
      <c r="A10" s="65">
        <v>1</v>
      </c>
      <c r="B10" s="65">
        <v>15</v>
      </c>
      <c r="C10" s="65">
        <v>5</v>
      </c>
      <c r="D10" s="54">
        <f>IF(C10="","",_xlfn.XLOOKUP(B10,'Pier geometry_1'!A:A,'Pier geometry_1'!I:I)*_xlfn.XLOOKUP(B10,'Pier geometry_1'!A:A,'Pier geometry_1'!H:H)^3/12)</f>
        <v>0.52493653333333334</v>
      </c>
      <c r="E10" s="54">
        <f>IF(C10="","",_xlfn.XLOOKUP(B10,'Pier geometry_1'!A:A,'Pier geometry_1'!I:I)*_xlfn.XLOOKUP(B10,'Pier geometry_1'!A:A,'Pier geometry_1'!H:H))</f>
        <v>1.456</v>
      </c>
      <c r="F10" s="67">
        <f ca="1">IF(E10="","",Max_shearforce_1!P10*((Max_shearforce_1!D10*(3*Max_shearforce_1!D10-Max_shearforce_1!D10))/(6*'Pushover Curve_1'!D10*'Material properties'!$H$11)+(6/5)/('Material properties'!$H$12*'Pushover Curve_1'!E10)))</f>
        <v>2.5006979841670971E-4</v>
      </c>
      <c r="G10" s="68">
        <f ca="1">IF(F10="","",IF(Max_shearforce_1!Q10="Flexure",0.0065,0.0043))</f>
        <v>6.4999999999999997E-3</v>
      </c>
      <c r="H10" s="69">
        <f ca="1">IF(G10="","",ROUND(F10*6.1,4))</f>
        <v>1.5E-3</v>
      </c>
      <c r="I10" s="71">
        <f ca="1">IF(H10="","",H10*1000)</f>
        <v>1.5</v>
      </c>
      <c r="J10" s="69">
        <f ca="1">IF(H10="","",ROUND(G10*6.1,4))</f>
        <v>3.9699999999999999E-2</v>
      </c>
      <c r="K10" s="71">
        <f ca="1">IF(J10="","",J10*1000)</f>
        <v>39.699999999999996</v>
      </c>
      <c r="L10" s="53">
        <f ca="1">IF(J10="","",Max_shearforce_1!P10)</f>
        <v>43539.164034771937</v>
      </c>
      <c r="M10" s="71">
        <f ca="1">IF(L10="","",L10/1000)</f>
        <v>43.539164034771936</v>
      </c>
      <c r="N10" s="77">
        <v>1</v>
      </c>
      <c r="O10" s="78">
        <f t="shared" ref="O10" ca="1" si="0">IF(M10="","",0)</f>
        <v>0</v>
      </c>
      <c r="P10" s="78">
        <f ca="1">IF(M10="","",IF($P$8&lt;=I10,$P$8/I10*M10,IF($P$8&gt;=K10,0,M10)))</f>
        <v>43.539164034771936</v>
      </c>
      <c r="Q10" s="78">
        <f ca="1">IF(M10="","",IF($Q$8&lt;=I10,$Q$8/I10*M10,IF($Q$8&gt;=K10,0,M10)))</f>
        <v>43.539164034771936</v>
      </c>
      <c r="R10" s="78">
        <f ca="1">IF(M10="","",IF($R$8&lt;=I10,$R$8/I10*M10,IF($R$8&gt;=K10,0,M10)))</f>
        <v>43.539164034771936</v>
      </c>
      <c r="S10" s="78">
        <f ca="1">IF(M10="","",IF($S$8&lt;=I10,$S$8/I10*M10,IF($S$8&gt;=K10,0,M10)))</f>
        <v>43.539164034771936</v>
      </c>
      <c r="T10" s="78">
        <f ca="1">IF(M10="","",IF($T$8&lt;=I10,$T$8/I10*M10,IF($T$8&gt;=K10,0,M10)))</f>
        <v>43.539164034771936</v>
      </c>
      <c r="U10" s="78">
        <f ca="1">IF(M10="","",IF($U$8&lt;=I10,$U$8/I10*M10,IF($U$8&gt;=K10,0,M10)))</f>
        <v>43.539164034771936</v>
      </c>
      <c r="V10" s="78">
        <f ca="1">IF(M10="","",IF($V$8&lt;=I10,$V$8/I10*M10,IF($V$8&gt;=K10,0,M10)))</f>
        <v>43.539164034771936</v>
      </c>
      <c r="W10" s="78">
        <f ca="1">IF(M10="","",IF($W$8&lt;=I10,$W$8/I10*M10,IF($W$8&gt;=K10,0,M10)))</f>
        <v>43.539164034771936</v>
      </c>
      <c r="X10" s="78">
        <f ca="1">IF(M10="","",IF($X$8&lt;=I10,$X$8/I10*M10,IF($X$8&gt;=K10,0,M10)))</f>
        <v>43.539164034771936</v>
      </c>
      <c r="Y10" s="78">
        <f ca="1">IF(M10="","",IF($Y$8&lt;=I10,$Y$8/I10*M10,IF($Y$8&gt;=K10,0,M10)))</f>
        <v>43.539164034771936</v>
      </c>
      <c r="Z10" s="78">
        <f ca="1">IF(M10="","",IF($Z$8&lt;=I10,$Z$8/I10*M10,IF($Z$8&gt;=K10,0,M10)))</f>
        <v>43.539164034771936</v>
      </c>
      <c r="AA10" s="78">
        <f ca="1">IF(M10="","",IF($AA$8&lt;=I10,$AA$8/I10*M10,IF($AA$8&gt;=K10,0,M10)))</f>
        <v>43.539164034771936</v>
      </c>
      <c r="AB10" s="78">
        <f ca="1">IF(M10="","",IF($AB$8&lt;=I10,$AB$8/I10*M10,IF($AB$8&gt;=K10,0,M10)))</f>
        <v>0</v>
      </c>
    </row>
    <row r="11" spans="1:41" x14ac:dyDescent="0.3">
      <c r="A11" s="65">
        <v>2</v>
      </c>
      <c r="B11" s="65">
        <v>16</v>
      </c>
      <c r="C11" s="65">
        <v>6</v>
      </c>
      <c r="D11" s="54">
        <f>IF(C11="","",_xlfn.XLOOKUP(B11,'Pier geometry_1'!A:A,'Pier geometry_1'!I:I)*_xlfn.XLOOKUP(B11,'Pier geometry_1'!A:A,'Pier geometry_1'!H:H)^3/12)</f>
        <v>0.91145833333333337</v>
      </c>
      <c r="E11" s="54">
        <f>IF(C11="","",_xlfn.XLOOKUP(B11,'Pier geometry_1'!A:A,'Pier geometry_1'!I:I)*_xlfn.XLOOKUP(B11,'Pier geometry_1'!A:A,'Pier geometry_1'!H:H))</f>
        <v>1.75</v>
      </c>
      <c r="F11" s="67">
        <f ca="1">IF(E11="","",Max_shearforce_1!P11*((Max_shearforce_1!D11*(3*Max_shearforce_1!D11-Max_shearforce_1!D11))/(6*'Pushover Curve_1'!D11*'Material properties'!$H$11)+(6/5)/('Material properties'!$H$12*'Pushover Curve_1'!E11)))</f>
        <v>2.9129032948736213E-4</v>
      </c>
      <c r="G11" s="68">
        <f ca="1">IF(F11="","",IF(Max_shearforce_1!Q11="Flexure",0.0065,0.0043))</f>
        <v>6.4999999999999997E-3</v>
      </c>
      <c r="H11" s="69">
        <f t="shared" ref="H11:H32" ca="1" si="1">IF(G11="","",ROUND(F11*6.1,4))</f>
        <v>1.8E-3</v>
      </c>
      <c r="I11" s="71">
        <f t="shared" ref="I11:I32" ca="1" si="2">IF(H11="","",H11*1000)</f>
        <v>1.8</v>
      </c>
      <c r="J11" s="69">
        <f t="shared" ref="J11:J32" ca="1" si="3">IF(H11="","",ROUND(G11*6.1,4))</f>
        <v>3.9699999999999999E-2</v>
      </c>
      <c r="K11" s="71">
        <f t="shared" ref="K11:K32" ca="1" si="4">IF(J11="","",J11*1000)</f>
        <v>39.699999999999996</v>
      </c>
      <c r="L11" s="53">
        <f ca="1">IF(J11="","",Max_shearforce_1!P11)</f>
        <v>70155.343043923</v>
      </c>
      <c r="M11" s="71">
        <f t="shared" ref="M11:M32" ca="1" si="5">IF(L11="","",L11/1000)</f>
        <v>70.155343043922997</v>
      </c>
      <c r="N11" s="65">
        <v>2</v>
      </c>
      <c r="O11" s="78">
        <f t="shared" ref="O11:O32" ca="1" si="6">IF(M11="","",0)</f>
        <v>0</v>
      </c>
      <c r="P11" s="78">
        <f t="shared" ref="P11:P32" ca="1" si="7">IF(M11="","",IF($P$8&lt;=I11,$P$8/I11*M11,IF($P$8&gt;=K11,0,M11)))</f>
        <v>58.462785869935828</v>
      </c>
      <c r="Q11" s="78">
        <f t="shared" ref="Q11:Q32" ca="1" si="8">IF(M11="","",IF($Q$8&lt;=I11,$Q$8/I11*M11,IF($Q$8&gt;=K11,0,M11)))</f>
        <v>66.257823985927274</v>
      </c>
      <c r="R11" s="78">
        <f t="shared" ref="R11:R32" ca="1" si="9">IF(M11="","",IF($R$8&lt;=I11,$R$8/I11*M11,IF($R$8&gt;=K11,0,M11)))</f>
        <v>70.155343043922997</v>
      </c>
      <c r="S11" s="78">
        <f t="shared" ref="S11:S32" ca="1" si="10">IF(M11="","",IF($S$8&lt;=I11,$S$8/I11*M11,IF($S$8&gt;=K11,0,M11)))</f>
        <v>70.155343043922997</v>
      </c>
      <c r="T11" s="78">
        <f t="shared" ref="T11:T32" ca="1" si="11">IF(M11="","",IF($T$8&lt;=I11,$T$8/I11*M11,IF($T$8&gt;=K11,0,M11)))</f>
        <v>70.155343043922997</v>
      </c>
      <c r="U11" s="78">
        <f t="shared" ref="U11:U32" ca="1" si="12">IF(M11="","",IF($U$8&lt;=I11,$U$8/I11*M11,IF($U$8&gt;=K11,0,M11)))</f>
        <v>70.155343043922997</v>
      </c>
      <c r="V11" s="78">
        <f t="shared" ref="V11:V32" ca="1" si="13">IF(M11="","",IF($V$8&lt;=I11,$V$8/I11*M11,IF($V$8&gt;=K11,0,M11)))</f>
        <v>70.155343043922997</v>
      </c>
      <c r="W11" s="78">
        <f t="shared" ref="W11:W32" ca="1" si="14">IF(M11="","",IF($W$8&lt;=I11,$W$8/I11*M11,IF($W$8&gt;=K11,0,M11)))</f>
        <v>70.155343043922997</v>
      </c>
      <c r="X11" s="78">
        <f t="shared" ref="X11:X32" ca="1" si="15">IF(M11="","",IF($X$8&lt;=I11,$X$8/I11*M11,IF($X$8&gt;=K11,0,M11)))</f>
        <v>70.155343043922997</v>
      </c>
      <c r="Y11" s="78">
        <f t="shared" ref="Y11:Y32" ca="1" si="16">IF(M11="","",IF($Y$8&lt;=I11,$Y$8/I11*M11,IF($Y$8&gt;=K11,0,M11)))</f>
        <v>70.155343043922997</v>
      </c>
      <c r="Z11" s="78">
        <f t="shared" ref="Z11:Z32" ca="1" si="17">IF(M11="","",IF($Z$8&lt;=I11,$Z$8/I11*M11,IF($Z$8&gt;=K11,0,M11)))</f>
        <v>70.155343043922997</v>
      </c>
      <c r="AA11" s="78">
        <f t="shared" ref="AA11:AA32" ca="1" si="18">IF(M11="","",IF($AA$8&lt;=I11,$AA$8/I11*M11,IF($AA$8&gt;=K11,0,M11)))</f>
        <v>70.155343043922997</v>
      </c>
      <c r="AB11" s="78">
        <f t="shared" ref="AB11:AB32" ca="1" si="19">IF(M11="","",IF($AB$8&lt;=I11,$AB$8/I11*M11,IF($AB$8&gt;=K11,0,M11)))</f>
        <v>0</v>
      </c>
    </row>
    <row r="12" spans="1:41" x14ac:dyDescent="0.3">
      <c r="A12" s="65">
        <v>3</v>
      </c>
      <c r="B12" s="65">
        <v>17</v>
      </c>
      <c r="C12" s="65">
        <v>7</v>
      </c>
      <c r="D12" s="54">
        <f>IF(C12="","",_xlfn.XLOOKUP(B12,'Pier geometry_1'!A:A,'Pier geometry_1'!I:I)*_xlfn.XLOOKUP(B12,'Pier geometry_1'!A:A,'Pier geometry_1'!H:H)^3/12)</f>
        <v>3.5823958333333329E-2</v>
      </c>
      <c r="E12" s="54">
        <f>IF(C12="","",_xlfn.XLOOKUP(B12,'Pier geometry_1'!A:A,'Pier geometry_1'!I:I)*_xlfn.XLOOKUP(B12,'Pier geometry_1'!A:A,'Pier geometry_1'!H:H))</f>
        <v>0.59499999999999997</v>
      </c>
      <c r="F12" s="67">
        <f ca="1">IF(E12="","",Max_shearforce_1!P12*((Max_shearforce_1!D12*(3*Max_shearforce_1!D12-Max_shearforce_1!D12))/(6*'Pushover Curve_1'!D12*'Material properties'!$H$11)+(6/5)/('Material properties'!$H$12*'Pushover Curve_1'!E12)))</f>
        <v>6.7714902269428237E-4</v>
      </c>
      <c r="G12" s="68">
        <f ca="1">IF(F12="","",IF(Max_shearforce_1!Q12="Flexure",0.0065,0.0043))</f>
        <v>6.4999999999999997E-3</v>
      </c>
      <c r="H12" s="69">
        <f t="shared" ca="1" si="1"/>
        <v>4.1000000000000003E-3</v>
      </c>
      <c r="I12" s="71">
        <f t="shared" ca="1" si="2"/>
        <v>4.1000000000000005</v>
      </c>
      <c r="J12" s="69">
        <f t="shared" ca="1" si="3"/>
        <v>3.9699999999999999E-2</v>
      </c>
      <c r="K12" s="71">
        <f t="shared" ca="1" si="4"/>
        <v>39.699999999999996</v>
      </c>
      <c r="L12" s="53">
        <f ca="1">IF(J12="","",Max_shearforce_1!P12)</f>
        <v>15417.232213128751</v>
      </c>
      <c r="M12" s="71">
        <f t="shared" ca="1" si="5"/>
        <v>15.41723221312875</v>
      </c>
      <c r="N12" s="65">
        <v>3</v>
      </c>
      <c r="O12" s="78">
        <f t="shared" ca="1" si="6"/>
        <v>0</v>
      </c>
      <c r="P12" s="78">
        <f t="shared" ca="1" si="7"/>
        <v>5.6404508096812496</v>
      </c>
      <c r="Q12" s="78">
        <f t="shared" ca="1" si="8"/>
        <v>6.3925109176387487</v>
      </c>
      <c r="R12" s="78">
        <f t="shared" ca="1" si="9"/>
        <v>6.7685409716174991</v>
      </c>
      <c r="S12" s="78">
        <f t="shared" ca="1" si="10"/>
        <v>7.5206010795749991</v>
      </c>
      <c r="T12" s="78">
        <f t="shared" ca="1" si="11"/>
        <v>7.8966311335537487</v>
      </c>
      <c r="U12" s="78">
        <f t="shared" ca="1" si="12"/>
        <v>8.2726611875324991</v>
      </c>
      <c r="V12" s="78">
        <f t="shared" ca="1" si="13"/>
        <v>8.6486912415112478</v>
      </c>
      <c r="W12" s="78">
        <f t="shared" ca="1" si="14"/>
        <v>12.032961727319998</v>
      </c>
      <c r="X12" s="78">
        <f t="shared" ca="1" si="15"/>
        <v>15.41723221312875</v>
      </c>
      <c r="Y12" s="78">
        <f t="shared" ca="1" si="16"/>
        <v>15.41723221312875</v>
      </c>
      <c r="Z12" s="78">
        <f t="shared" ca="1" si="17"/>
        <v>15.41723221312875</v>
      </c>
      <c r="AA12" s="78">
        <f t="shared" ca="1" si="18"/>
        <v>15.41723221312875</v>
      </c>
      <c r="AB12" s="78">
        <f t="shared" ca="1" si="19"/>
        <v>0</v>
      </c>
    </row>
    <row r="13" spans="1:41" x14ac:dyDescent="0.3">
      <c r="A13" s="65">
        <v>4</v>
      </c>
      <c r="B13" s="65">
        <v>18</v>
      </c>
      <c r="C13" s="65">
        <v>7</v>
      </c>
      <c r="D13" s="54">
        <f>IF(C13="","",_xlfn.XLOOKUP(B13,'Pier geometry_1'!A:A,'Pier geometry_1'!I:I)*_xlfn.XLOOKUP(B13,'Pier geometry_1'!A:A,'Pier geometry_1'!H:H)^3/12)</f>
        <v>3.5823958333333329E-2</v>
      </c>
      <c r="E13" s="54">
        <f>IF(C13="","",_xlfn.XLOOKUP(B13,'Pier geometry_1'!A:A,'Pier geometry_1'!I:I)*_xlfn.XLOOKUP(B13,'Pier geometry_1'!A:A,'Pier geometry_1'!H:H))</f>
        <v>0.59499999999999997</v>
      </c>
      <c r="F13" s="67">
        <f ca="1">IF(E13="","",Max_shearforce_1!P13*((Max_shearforce_1!D13*(3*Max_shearforce_1!D13-Max_shearforce_1!D13))/(6*'Pushover Curve_1'!D13*'Material properties'!$H$11)+(6/5)/('Material properties'!$H$12*'Pushover Curve_1'!E13)))</f>
        <v>6.7714902269428237E-4</v>
      </c>
      <c r="G13" s="68">
        <f ca="1">IF(F13="","",IF(Max_shearforce_1!Q13="Flexure",0.0065,0.0043))</f>
        <v>6.4999999999999997E-3</v>
      </c>
      <c r="H13" s="69">
        <f t="shared" ca="1" si="1"/>
        <v>4.1000000000000003E-3</v>
      </c>
      <c r="I13" s="71">
        <f t="shared" ca="1" si="2"/>
        <v>4.1000000000000005</v>
      </c>
      <c r="J13" s="69">
        <f t="shared" ca="1" si="3"/>
        <v>3.9699999999999999E-2</v>
      </c>
      <c r="K13" s="71">
        <f t="shared" ca="1" si="4"/>
        <v>39.699999999999996</v>
      </c>
      <c r="L13" s="53">
        <f ca="1">IF(J13="","",Max_shearforce_1!P13)</f>
        <v>15417.232213128751</v>
      </c>
      <c r="M13" s="71">
        <f t="shared" ca="1" si="5"/>
        <v>15.41723221312875</v>
      </c>
      <c r="N13" s="65">
        <v>4</v>
      </c>
      <c r="O13" s="78">
        <f t="shared" ca="1" si="6"/>
        <v>0</v>
      </c>
      <c r="P13" s="78">
        <f t="shared" ca="1" si="7"/>
        <v>5.6404508096812496</v>
      </c>
      <c r="Q13" s="78">
        <f t="shared" ca="1" si="8"/>
        <v>6.3925109176387487</v>
      </c>
      <c r="R13" s="78">
        <f t="shared" ca="1" si="9"/>
        <v>6.7685409716174991</v>
      </c>
      <c r="S13" s="78">
        <f t="shared" ca="1" si="10"/>
        <v>7.5206010795749991</v>
      </c>
      <c r="T13" s="78">
        <f t="shared" ca="1" si="11"/>
        <v>7.8966311335537487</v>
      </c>
      <c r="U13" s="78">
        <f t="shared" ca="1" si="12"/>
        <v>8.2726611875324991</v>
      </c>
      <c r="V13" s="78">
        <f t="shared" ca="1" si="13"/>
        <v>8.6486912415112478</v>
      </c>
      <c r="W13" s="78">
        <f t="shared" ca="1" si="14"/>
        <v>12.032961727319998</v>
      </c>
      <c r="X13" s="78">
        <f t="shared" ca="1" si="15"/>
        <v>15.41723221312875</v>
      </c>
      <c r="Y13" s="78">
        <f t="shared" ca="1" si="16"/>
        <v>15.41723221312875</v>
      </c>
      <c r="Z13" s="78">
        <f t="shared" ca="1" si="17"/>
        <v>15.41723221312875</v>
      </c>
      <c r="AA13" s="78">
        <f t="shared" ca="1" si="18"/>
        <v>15.41723221312875</v>
      </c>
      <c r="AB13" s="78">
        <f t="shared" ca="1" si="19"/>
        <v>0</v>
      </c>
    </row>
    <row r="14" spans="1:41" x14ac:dyDescent="0.3">
      <c r="A14" s="65">
        <v>5</v>
      </c>
      <c r="B14" s="65">
        <v>19</v>
      </c>
      <c r="C14" s="65">
        <v>9</v>
      </c>
      <c r="D14" s="54">
        <f>IF(C14="","",_xlfn.XLOOKUP(B14,'Pier geometry_1'!A:A,'Pier geometry_1'!I:I)*_xlfn.XLOOKUP(B14,'Pier geometry_1'!A:A,'Pier geometry_1'!H:H)^3/12)</f>
        <v>0.91145833333333337</v>
      </c>
      <c r="E14" s="54">
        <f>IF(C14="","",_xlfn.XLOOKUP(B14,'Pier geometry_1'!A:A,'Pier geometry_1'!I:I)*_xlfn.XLOOKUP(B14,'Pier geometry_1'!A:A,'Pier geometry_1'!H:H))</f>
        <v>1.75</v>
      </c>
      <c r="F14" s="67">
        <f ca="1">IF(E14="","",Max_shearforce_1!P14*((Max_shearforce_1!D14*(3*Max_shearforce_1!D14-Max_shearforce_1!D14))/(6*'Pushover Curve_1'!D14*'Material properties'!$H$11)+(6/5)/('Material properties'!$H$12*'Pushover Curve_1'!E14)))</f>
        <v>2.8665968237139066E-4</v>
      </c>
      <c r="G14" s="68">
        <f ca="1">IF(F14="","",IF(Max_shearforce_1!Q14="Flexure",0.0065,0.0043))</f>
        <v>6.4999999999999997E-3</v>
      </c>
      <c r="H14" s="69">
        <f t="shared" ca="1" si="1"/>
        <v>1.6999999999999999E-3</v>
      </c>
      <c r="I14" s="71">
        <f t="shared" ca="1" si="2"/>
        <v>1.7</v>
      </c>
      <c r="J14" s="69">
        <f t="shared" ca="1" si="3"/>
        <v>3.9699999999999999E-2</v>
      </c>
      <c r="K14" s="71">
        <f t="shared" ca="1" si="4"/>
        <v>39.699999999999996</v>
      </c>
      <c r="L14" s="53">
        <f ca="1">IF(J14="","",Max_shearforce_1!P14)</f>
        <v>69040.082412002754</v>
      </c>
      <c r="M14" s="71">
        <f t="shared" ca="1" si="5"/>
        <v>69.040082412002761</v>
      </c>
      <c r="N14" s="65">
        <v>5</v>
      </c>
      <c r="O14" s="78">
        <f t="shared" ca="1" si="6"/>
        <v>0</v>
      </c>
      <c r="P14" s="78">
        <f t="shared" ca="1" si="7"/>
        <v>60.917719775296554</v>
      </c>
      <c r="Q14" s="78">
        <f t="shared" ca="1" si="8"/>
        <v>69.040082412002761</v>
      </c>
      <c r="R14" s="78">
        <f t="shared" ca="1" si="9"/>
        <v>69.040082412002761</v>
      </c>
      <c r="S14" s="78">
        <f t="shared" ca="1" si="10"/>
        <v>69.040082412002761</v>
      </c>
      <c r="T14" s="78">
        <f t="shared" ca="1" si="11"/>
        <v>69.040082412002761</v>
      </c>
      <c r="U14" s="78">
        <f t="shared" ca="1" si="12"/>
        <v>69.040082412002761</v>
      </c>
      <c r="V14" s="78">
        <f t="shared" ca="1" si="13"/>
        <v>69.040082412002761</v>
      </c>
      <c r="W14" s="78">
        <f t="shared" ca="1" si="14"/>
        <v>69.040082412002761</v>
      </c>
      <c r="X14" s="78">
        <f t="shared" ca="1" si="15"/>
        <v>69.040082412002761</v>
      </c>
      <c r="Y14" s="78">
        <f t="shared" ca="1" si="16"/>
        <v>69.040082412002761</v>
      </c>
      <c r="Z14" s="78">
        <f t="shared" ca="1" si="17"/>
        <v>69.040082412002761</v>
      </c>
      <c r="AA14" s="78">
        <f t="shared" ca="1" si="18"/>
        <v>69.040082412002761</v>
      </c>
      <c r="AB14" s="78">
        <f t="shared" ca="1" si="19"/>
        <v>0</v>
      </c>
    </row>
    <row r="15" spans="1:41" x14ac:dyDescent="0.3">
      <c r="A15" s="65">
        <v>6</v>
      </c>
      <c r="B15" s="65">
        <v>20</v>
      </c>
      <c r="C15" s="65">
        <v>10</v>
      </c>
      <c r="D15" s="54">
        <f>IF(C15="","",_xlfn.XLOOKUP(B15,'Pier geometry_1'!A:A,'Pier geometry_1'!I:I)*_xlfn.XLOOKUP(B15,'Pier geometry_1'!A:A,'Pier geometry_1'!H:H)^3/12)</f>
        <v>0.52493653333333334</v>
      </c>
      <c r="E15" s="54">
        <f>IF(C15="","",_xlfn.XLOOKUP(B15,'Pier geometry_1'!A:A,'Pier geometry_1'!I:I)*_xlfn.XLOOKUP(B15,'Pier geometry_1'!A:A,'Pier geometry_1'!H:H))</f>
        <v>1.456</v>
      </c>
      <c r="F15" s="67">
        <f ca="1">IF(E15="","",Max_shearforce_1!P15*((Max_shearforce_1!D15*(3*Max_shearforce_1!D15-Max_shearforce_1!D15))/(6*'Pushover Curve_1'!D15*'Material properties'!$H$11)+(6/5)/('Material properties'!$H$12*'Pushover Curve_1'!E15)))</f>
        <v>2.4130072972310587E-4</v>
      </c>
      <c r="G15" s="68">
        <f ca="1">IF(F15="","",IF(Max_shearforce_1!Q15="Flexure",0.0065,0.0043))</f>
        <v>6.4999999999999997E-3</v>
      </c>
      <c r="H15" s="69">
        <f t="shared" ca="1" si="1"/>
        <v>1.5E-3</v>
      </c>
      <c r="I15" s="71">
        <f t="shared" ca="1" si="2"/>
        <v>1.5</v>
      </c>
      <c r="J15" s="69">
        <f t="shared" ca="1" si="3"/>
        <v>3.9699999999999999E-2</v>
      </c>
      <c r="K15" s="71">
        <f t="shared" ca="1" si="4"/>
        <v>39.699999999999996</v>
      </c>
      <c r="L15" s="53">
        <f ca="1">IF(J15="","",Max_shearforce_1!P15)</f>
        <v>42012.398616875362</v>
      </c>
      <c r="M15" s="71">
        <f t="shared" ca="1" si="5"/>
        <v>42.012398616875359</v>
      </c>
      <c r="N15" s="65">
        <v>6</v>
      </c>
      <c r="O15" s="78">
        <f t="shared" ca="1" si="6"/>
        <v>0</v>
      </c>
      <c r="P15" s="78">
        <f t="shared" ca="1" si="7"/>
        <v>42.012398616875359</v>
      </c>
      <c r="Q15" s="78">
        <f t="shared" ca="1" si="8"/>
        <v>42.012398616875359</v>
      </c>
      <c r="R15" s="78">
        <f t="shared" ca="1" si="9"/>
        <v>42.012398616875359</v>
      </c>
      <c r="S15" s="78">
        <f t="shared" ca="1" si="10"/>
        <v>42.012398616875359</v>
      </c>
      <c r="T15" s="78">
        <f t="shared" ca="1" si="11"/>
        <v>42.012398616875359</v>
      </c>
      <c r="U15" s="78">
        <f t="shared" ca="1" si="12"/>
        <v>42.012398616875359</v>
      </c>
      <c r="V15" s="78">
        <f t="shared" ca="1" si="13"/>
        <v>42.012398616875359</v>
      </c>
      <c r="W15" s="78">
        <f t="shared" ca="1" si="14"/>
        <v>42.012398616875359</v>
      </c>
      <c r="X15" s="78">
        <f t="shared" ca="1" si="15"/>
        <v>42.012398616875359</v>
      </c>
      <c r="Y15" s="78">
        <f t="shared" ca="1" si="16"/>
        <v>42.012398616875359</v>
      </c>
      <c r="Z15" s="78">
        <f t="shared" ca="1" si="17"/>
        <v>42.012398616875359</v>
      </c>
      <c r="AA15" s="78">
        <f t="shared" ca="1" si="18"/>
        <v>42.012398616875359</v>
      </c>
      <c r="AB15" s="78">
        <f t="shared" ca="1" si="19"/>
        <v>0</v>
      </c>
    </row>
    <row r="16" spans="1:41" x14ac:dyDescent="0.3">
      <c r="A16"/>
      <c r="B16"/>
      <c r="C16"/>
      <c r="D16" t="str">
        <f>IF(C16="","",_xlfn.XLOOKUP(B16,'Pier geometry_1'!A:A,'Pier geometry_1'!I:I)*_xlfn.XLOOKUP(B16,'Pier geometry_1'!A:A,'Pier geometry_1'!H:H)^3/12)</f>
        <v/>
      </c>
      <c r="E16" t="str">
        <f>IF(C16="","",_xlfn.XLOOKUP(B16,'Pier geometry_1'!A:A,'Pier geometry_1'!I:I)*_xlfn.XLOOKUP(B16,'Pier geometry_1'!A:A,'Pier geometry_1'!H:H))</f>
        <v/>
      </c>
      <c r="F16" t="str">
        <f>IF(E16="","",Max_shearforce_1!P16*((Max_shearforce_1!D16*(3*Max_shearforce_1!D16-Max_shearforce_1!D16))/(6*'Pushover Curve_1'!D16*'Material properties'!$H$11)+(6/5)/('Material properties'!$H$12*'Pushover Curve_1'!E16)))</f>
        <v/>
      </c>
      <c r="G16" t="str">
        <f>IF(F16="","",IF(Max_shearforce_1!Q16="Flexure",0.0065,0.0043))</f>
        <v/>
      </c>
      <c r="H16" t="str">
        <f t="shared" si="1"/>
        <v/>
      </c>
      <c r="I16" t="str">
        <f t="shared" si="2"/>
        <v/>
      </c>
      <c r="J16" t="str">
        <f t="shared" si="3"/>
        <v/>
      </c>
      <c r="K16" t="str">
        <f t="shared" si="4"/>
        <v/>
      </c>
      <c r="L16" t="str">
        <f>IF(J16="","",Max_shearforce_1!P16)</f>
        <v/>
      </c>
      <c r="M16" t="str">
        <f t="shared" si="5"/>
        <v/>
      </c>
      <c r="O16" t="str">
        <f t="shared" si="6"/>
        <v/>
      </c>
      <c r="P16" t="str">
        <f t="shared" si="7"/>
        <v/>
      </c>
      <c r="Q16" t="str">
        <f t="shared" si="8"/>
        <v/>
      </c>
      <c r="R16" t="str">
        <f t="shared" si="9"/>
        <v/>
      </c>
      <c r="S16" t="str">
        <f t="shared" si="10"/>
        <v/>
      </c>
      <c r="T16" t="str">
        <f t="shared" si="11"/>
        <v/>
      </c>
      <c r="U16" t="str">
        <f t="shared" si="12"/>
        <v/>
      </c>
      <c r="V16" t="str">
        <f t="shared" si="13"/>
        <v/>
      </c>
      <c r="W16" t="str">
        <f t="shared" si="14"/>
        <v/>
      </c>
      <c r="X16" t="str">
        <f t="shared" si="15"/>
        <v/>
      </c>
      <c r="Y16" t="str">
        <f t="shared" si="16"/>
        <v/>
      </c>
      <c r="Z16" t="str">
        <f t="shared" si="17"/>
        <v/>
      </c>
      <c r="AA16" t="str">
        <f t="shared" si="18"/>
        <v/>
      </c>
      <c r="AB16" t="str">
        <f t="shared" si="19"/>
        <v/>
      </c>
    </row>
    <row r="17" spans="1:28" x14ac:dyDescent="0.3">
      <c r="A17" s="46" t="s">
        <v>38</v>
      </c>
      <c r="B17"/>
      <c r="C17"/>
      <c r="D17" t="str">
        <f>IF(C17="","",_xlfn.XLOOKUP(B17,'Pier geometry_1'!A:A,'Pier geometry_1'!I:I)*_xlfn.XLOOKUP(B17,'Pier geometry_1'!A:A,'Pier geometry_1'!H:H)^3/12)</f>
        <v/>
      </c>
      <c r="E17" t="str">
        <f>IF(C17="","",_xlfn.XLOOKUP(B17,'Pier geometry_1'!A:A,'Pier geometry_1'!I:I)*_xlfn.XLOOKUP(B17,'Pier geometry_1'!A:A,'Pier geometry_1'!H:H))</f>
        <v/>
      </c>
      <c r="F17" t="str">
        <f>IF(E17="","",Max_shearforce_1!P17*((Max_shearforce_1!D17*(3*Max_shearforce_1!D17-Max_shearforce_1!D17))/(6*'Pushover Curve_1'!D17*'Material properties'!$H$11)+(6/5)/('Material properties'!$H$12*'Pushover Curve_1'!E17)))</f>
        <v/>
      </c>
      <c r="G17" t="str">
        <f>IF(F17="","",IF(Max_shearforce_1!Q17="Flexure",0.0065,0.0043))</f>
        <v/>
      </c>
      <c r="H17" t="str">
        <f t="shared" si="1"/>
        <v/>
      </c>
      <c r="I17" t="str">
        <f t="shared" si="2"/>
        <v/>
      </c>
      <c r="J17" t="str">
        <f t="shared" si="3"/>
        <v/>
      </c>
      <c r="K17" t="str">
        <f t="shared" si="4"/>
        <v/>
      </c>
      <c r="L17" t="str">
        <f>IF(J17="","",Max_shearforce_1!P17)</f>
        <v/>
      </c>
      <c r="M17" t="str">
        <f t="shared" si="5"/>
        <v/>
      </c>
      <c r="N17" s="46" t="s">
        <v>38</v>
      </c>
      <c r="O17" s="77" t="str">
        <f t="shared" si="6"/>
        <v/>
      </c>
      <c r="P17" s="77" t="str">
        <f t="shared" si="7"/>
        <v/>
      </c>
      <c r="Q17" s="77" t="str">
        <f t="shared" si="8"/>
        <v/>
      </c>
      <c r="R17" s="77" t="str">
        <f t="shared" si="9"/>
        <v/>
      </c>
      <c r="S17" s="77" t="str">
        <f t="shared" si="10"/>
        <v/>
      </c>
      <c r="T17" s="77" t="str">
        <f t="shared" si="11"/>
        <v/>
      </c>
      <c r="U17" s="77" t="str">
        <f t="shared" si="12"/>
        <v/>
      </c>
      <c r="V17" s="77" t="str">
        <f t="shared" si="13"/>
        <v/>
      </c>
      <c r="W17" s="77" t="str">
        <f t="shared" si="14"/>
        <v/>
      </c>
      <c r="X17" s="77" t="str">
        <f t="shared" si="15"/>
        <v/>
      </c>
      <c r="Y17" s="77" t="str">
        <f t="shared" si="16"/>
        <v/>
      </c>
      <c r="Z17" s="77" t="str">
        <f t="shared" si="17"/>
        <v/>
      </c>
      <c r="AA17" s="77" t="str">
        <f t="shared" si="18"/>
        <v/>
      </c>
      <c r="AB17" s="77" t="str">
        <f t="shared" si="19"/>
        <v/>
      </c>
    </row>
    <row r="18" spans="1:28" x14ac:dyDescent="0.3">
      <c r="A18" s="65">
        <v>10</v>
      </c>
      <c r="B18" s="65">
        <v>51</v>
      </c>
      <c r="C18" s="65">
        <v>42</v>
      </c>
      <c r="D18" s="54">
        <f>IF(C18="","",_xlfn.XLOOKUP(B18,'Pier geometry_1'!A:A,'Pier geometry_1'!I:I)*_xlfn.XLOOKUP(B18,'Pier geometry_1'!A:A,'Pier geometry_1'!H:H)^3/12)</f>
        <v>0.52493653333333334</v>
      </c>
      <c r="E18" s="54">
        <f>IF(C18="","",_xlfn.XLOOKUP(B18,'Pier geometry_1'!A:A,'Pier geometry_1'!I:I)*_xlfn.XLOOKUP(B18,'Pier geometry_1'!A:A,'Pier geometry_1'!H:H))</f>
        <v>1.456</v>
      </c>
      <c r="F18" s="67">
        <f ca="1">IF(E18="","",Max_shearforce_1!P18*((Max_shearforce_1!D18*(3*Max_shearforce_1!D18-Max_shearforce_1!D18))/(6*'Pushover Curve_1'!D18*'Material properties'!$H$11)+(6/5)/('Material properties'!$H$12*'Pushover Curve_1'!E18)))</f>
        <v>3.2753679758804668E-4</v>
      </c>
      <c r="G18" s="68">
        <f ca="1">IF(F18="","",IF(Max_shearforce_1!Q18="Flexure",0.0065,0.0043))</f>
        <v>6.4999999999999997E-3</v>
      </c>
      <c r="H18" s="69">
        <f t="shared" ca="1" si="1"/>
        <v>2E-3</v>
      </c>
      <c r="I18" s="71">
        <f t="shared" ca="1" si="2"/>
        <v>2</v>
      </c>
      <c r="J18" s="69">
        <f t="shared" ca="1" si="3"/>
        <v>3.9699999999999999E-2</v>
      </c>
      <c r="K18" s="71">
        <f t="shared" ca="1" si="4"/>
        <v>39.699999999999996</v>
      </c>
      <c r="L18" s="53">
        <f ca="1">IF(J18="","",Max_shearforce_1!P18)</f>
        <v>57026.79191129766</v>
      </c>
      <c r="M18" s="71">
        <f t="shared" ca="1" si="5"/>
        <v>57.026791911297657</v>
      </c>
      <c r="N18" s="65">
        <v>10</v>
      </c>
      <c r="O18" s="78">
        <f t="shared" ca="1" si="6"/>
        <v>0</v>
      </c>
      <c r="P18" s="78">
        <f t="shared" ca="1" si="7"/>
        <v>42.770093933473241</v>
      </c>
      <c r="Q18" s="78">
        <f t="shared" ca="1" si="8"/>
        <v>48.472773124603009</v>
      </c>
      <c r="R18" s="78">
        <f t="shared" ca="1" si="9"/>
        <v>51.324112720167889</v>
      </c>
      <c r="S18" s="78">
        <f t="shared" ca="1" si="10"/>
        <v>57.026791911297657</v>
      </c>
      <c r="T18" s="78">
        <f t="shared" ca="1" si="11"/>
        <v>57.026791911297657</v>
      </c>
      <c r="U18" s="78">
        <f t="shared" ca="1" si="12"/>
        <v>57.026791911297657</v>
      </c>
      <c r="V18" s="78">
        <f t="shared" ca="1" si="13"/>
        <v>57.026791911297657</v>
      </c>
      <c r="W18" s="78">
        <f t="shared" ca="1" si="14"/>
        <v>57.026791911297657</v>
      </c>
      <c r="X18" s="78">
        <f t="shared" ca="1" si="15"/>
        <v>57.026791911297657</v>
      </c>
      <c r="Y18" s="78">
        <f t="shared" ca="1" si="16"/>
        <v>57.026791911297657</v>
      </c>
      <c r="Z18" s="78">
        <f t="shared" ca="1" si="17"/>
        <v>57.026791911297657</v>
      </c>
      <c r="AA18" s="78">
        <f t="shared" ca="1" si="18"/>
        <v>57.026791911297657</v>
      </c>
      <c r="AB18" s="78">
        <f t="shared" ca="1" si="19"/>
        <v>0</v>
      </c>
    </row>
    <row r="19" spans="1:28" x14ac:dyDescent="0.3">
      <c r="A19" s="65">
        <v>11</v>
      </c>
      <c r="B19" s="65">
        <v>52</v>
      </c>
      <c r="C19" s="65">
        <v>43</v>
      </c>
      <c r="D19" s="54">
        <f>IF(C19="","",_xlfn.XLOOKUP(B19,'Pier geometry_1'!A:A,'Pier geometry_1'!I:I)*_xlfn.XLOOKUP(B19,'Pier geometry_1'!A:A,'Pier geometry_1'!H:H)^3/12)</f>
        <v>1.1481750000000002</v>
      </c>
      <c r="E19" s="54">
        <f>IF(C19="","",_xlfn.XLOOKUP(B19,'Pier geometry_1'!A:A,'Pier geometry_1'!I:I)*_xlfn.XLOOKUP(B19,'Pier geometry_1'!A:A,'Pier geometry_1'!H:H))</f>
        <v>1.89</v>
      </c>
      <c r="F19" s="67">
        <f ca="1">IF(E19="","",Max_shearforce_1!P19*((Max_shearforce_1!D19*(3*Max_shearforce_1!D19-Max_shearforce_1!D19))/(6*'Pushover Curve_1'!D19*'Material properties'!$H$11)+(6/5)/('Material properties'!$H$12*'Pushover Curve_1'!E19)))</f>
        <v>3.7720828689587693E-4</v>
      </c>
      <c r="G19" s="68">
        <f ca="1">IF(F19="","",IF(Max_shearforce_1!Q19="Flexure",0.0065,0.0043))</f>
        <v>6.4999999999999997E-3</v>
      </c>
      <c r="H19" s="69">
        <f t="shared" ca="1" si="1"/>
        <v>2.3E-3</v>
      </c>
      <c r="I19" s="71">
        <f t="shared" ca="1" si="2"/>
        <v>2.2999999999999998</v>
      </c>
      <c r="J19" s="69">
        <f t="shared" ca="1" si="3"/>
        <v>3.9699999999999999E-2</v>
      </c>
      <c r="K19" s="71">
        <f t="shared" ca="1" si="4"/>
        <v>39.699999999999996</v>
      </c>
      <c r="L19" s="53">
        <f ca="1">IF(J19="","",Max_shearforce_1!P19)</f>
        <v>103108.40448788652</v>
      </c>
      <c r="M19" s="71">
        <f t="shared" ca="1" si="5"/>
        <v>103.10840448788653</v>
      </c>
      <c r="N19" s="65">
        <v>11</v>
      </c>
      <c r="O19" s="78">
        <f t="shared" ca="1" si="6"/>
        <v>0</v>
      </c>
      <c r="P19" s="78">
        <f t="shared" ca="1" si="7"/>
        <v>67.244611622534691</v>
      </c>
      <c r="Q19" s="78">
        <f t="shared" ca="1" si="8"/>
        <v>76.210559838872655</v>
      </c>
      <c r="R19" s="78">
        <f t="shared" ca="1" si="9"/>
        <v>80.693533947041644</v>
      </c>
      <c r="S19" s="78">
        <f t="shared" ca="1" si="10"/>
        <v>89.659482163379607</v>
      </c>
      <c r="T19" s="78">
        <f t="shared" ca="1" si="11"/>
        <v>94.142456271548582</v>
      </c>
      <c r="U19" s="78">
        <f t="shared" ca="1" si="12"/>
        <v>98.625430379717571</v>
      </c>
      <c r="V19" s="78">
        <f t="shared" ca="1" si="13"/>
        <v>103.10840448788653</v>
      </c>
      <c r="W19" s="78">
        <f t="shared" ca="1" si="14"/>
        <v>103.10840448788653</v>
      </c>
      <c r="X19" s="78">
        <f t="shared" ca="1" si="15"/>
        <v>103.10840448788653</v>
      </c>
      <c r="Y19" s="78">
        <f t="shared" ca="1" si="16"/>
        <v>103.10840448788653</v>
      </c>
      <c r="Z19" s="78">
        <f t="shared" ca="1" si="17"/>
        <v>103.10840448788653</v>
      </c>
      <c r="AA19" s="78">
        <f t="shared" ca="1" si="18"/>
        <v>103.10840448788653</v>
      </c>
      <c r="AB19" s="78">
        <f t="shared" ca="1" si="19"/>
        <v>0</v>
      </c>
    </row>
    <row r="20" spans="1:28" x14ac:dyDescent="0.3">
      <c r="A20" s="65">
        <v>12</v>
      </c>
      <c r="B20" s="65">
        <v>53</v>
      </c>
      <c r="C20" s="65">
        <v>44</v>
      </c>
      <c r="D20" s="54">
        <f>IF(C20="","",_xlfn.XLOOKUP(B20,'Pier geometry_1'!A:A,'Pier geometry_1'!I:I)*_xlfn.XLOOKUP(B20,'Pier geometry_1'!A:A,'Pier geometry_1'!H:H)^3/12)</f>
        <v>1.2805333333333329</v>
      </c>
      <c r="E20" s="54">
        <f>IF(C20="","",_xlfn.XLOOKUP(B20,'Pier geometry_1'!A:A,'Pier geometry_1'!I:I)*_xlfn.XLOOKUP(B20,'Pier geometry_1'!A:A,'Pier geometry_1'!H:H))</f>
        <v>1.9599999999999997</v>
      </c>
      <c r="F20" s="67">
        <f ca="1">IF(E20="","",Max_shearforce_1!P20*((Max_shearforce_1!D20*(3*Max_shearforce_1!D20-Max_shearforce_1!D20))/(6*'Pushover Curve_1'!D20*'Material properties'!$H$11)+(6/5)/('Material properties'!$H$12*'Pushover Curve_1'!E20)))</f>
        <v>3.6201578190835012E-4</v>
      </c>
      <c r="G20" s="68">
        <f ca="1">IF(F20="","",IF(Max_shearforce_1!Q20="Flexure",0.0065,0.0043))</f>
        <v>6.4999999999999997E-3</v>
      </c>
      <c r="H20" s="69">
        <f t="shared" ca="1" si="1"/>
        <v>2.2000000000000001E-3</v>
      </c>
      <c r="I20" s="71">
        <f t="shared" ca="1" si="2"/>
        <v>2.2000000000000002</v>
      </c>
      <c r="J20" s="69">
        <f t="shared" ca="1" si="3"/>
        <v>3.9699999999999999E-2</v>
      </c>
      <c r="K20" s="71">
        <f t="shared" ca="1" si="4"/>
        <v>39.699999999999996</v>
      </c>
      <c r="L20" s="53">
        <f ca="1">IF(J20="","",Max_shearforce_1!P20)</f>
        <v>104870.28663124252</v>
      </c>
      <c r="M20" s="71">
        <f t="shared" ca="1" si="5"/>
        <v>104.87028663124252</v>
      </c>
      <c r="N20" s="65">
        <v>12</v>
      </c>
      <c r="O20" s="78">
        <f t="shared" ca="1" si="6"/>
        <v>0</v>
      </c>
      <c r="P20" s="78">
        <f t="shared" ca="1" si="7"/>
        <v>71.502468157665348</v>
      </c>
      <c r="Q20" s="78">
        <f t="shared" ca="1" si="8"/>
        <v>81.036130578687391</v>
      </c>
      <c r="R20" s="78">
        <f t="shared" ca="1" si="9"/>
        <v>85.80296178919842</v>
      </c>
      <c r="S20" s="78">
        <f t="shared" ca="1" si="10"/>
        <v>95.336624210220478</v>
      </c>
      <c r="T20" s="78">
        <f t="shared" ca="1" si="11"/>
        <v>100.10345542073149</v>
      </c>
      <c r="U20" s="78">
        <f t="shared" ca="1" si="12"/>
        <v>104.87028663124252</v>
      </c>
      <c r="V20" s="78">
        <f t="shared" ca="1" si="13"/>
        <v>104.87028663124252</v>
      </c>
      <c r="W20" s="78">
        <f t="shared" ca="1" si="14"/>
        <v>104.87028663124252</v>
      </c>
      <c r="X20" s="78">
        <f t="shared" ca="1" si="15"/>
        <v>104.87028663124252</v>
      </c>
      <c r="Y20" s="78">
        <f t="shared" ca="1" si="16"/>
        <v>104.87028663124252</v>
      </c>
      <c r="Z20" s="78">
        <f t="shared" ca="1" si="17"/>
        <v>104.87028663124252</v>
      </c>
      <c r="AA20" s="78">
        <f t="shared" ca="1" si="18"/>
        <v>104.87028663124252</v>
      </c>
      <c r="AB20" s="78">
        <f t="shared" ca="1" si="19"/>
        <v>0</v>
      </c>
    </row>
    <row r="21" spans="1:28" x14ac:dyDescent="0.3">
      <c r="A21" s="65">
        <v>13</v>
      </c>
      <c r="B21" s="65">
        <v>54</v>
      </c>
      <c r="C21" s="65">
        <v>45</v>
      </c>
      <c r="D21" s="54">
        <f>IF(C21="","",_xlfn.XLOOKUP(B21,'Pier geometry_1'!A:A,'Pier geometry_1'!I:I)*_xlfn.XLOOKUP(B21,'Pier geometry_1'!A:A,'Pier geometry_1'!H:H)^3/12)</f>
        <v>1.1481750000000002</v>
      </c>
      <c r="E21" s="54">
        <f>IF(C21="","",_xlfn.XLOOKUP(B21,'Pier geometry_1'!A:A,'Pier geometry_1'!I:I)*_xlfn.XLOOKUP(B21,'Pier geometry_1'!A:A,'Pier geometry_1'!H:H))</f>
        <v>1.89</v>
      </c>
      <c r="F21" s="67">
        <f ca="1">IF(E21="","",Max_shearforce_1!P21*((Max_shearforce_1!D21*(3*Max_shearforce_1!D21-Max_shearforce_1!D21))/(6*'Pushover Curve_1'!D21*'Material properties'!$H$11)+(6/5)/('Material properties'!$H$12*'Pushover Curve_1'!E21)))</f>
        <v>4.0864612011024464E-4</v>
      </c>
      <c r="G21" s="68">
        <f ca="1">IF(F21="","",IF(Max_shearforce_1!Q21="Flexure",0.0065,0.0043))</f>
        <v>6.4999999999999997E-3</v>
      </c>
      <c r="H21" s="69">
        <f t="shared" ca="1" si="1"/>
        <v>2.5000000000000001E-3</v>
      </c>
      <c r="I21" s="71">
        <f t="shared" ca="1" si="2"/>
        <v>2.5</v>
      </c>
      <c r="J21" s="69">
        <f t="shared" ca="1" si="3"/>
        <v>3.9699999999999999E-2</v>
      </c>
      <c r="K21" s="71">
        <f t="shared" ca="1" si="4"/>
        <v>39.699999999999996</v>
      </c>
      <c r="L21" s="53">
        <f ca="1">IF(J21="","",Max_shearforce_1!P21)</f>
        <v>111701.81278748868</v>
      </c>
      <c r="M21" s="71">
        <f t="shared" ca="1" si="5"/>
        <v>111.70181278748869</v>
      </c>
      <c r="N21" s="65">
        <v>13</v>
      </c>
      <c r="O21" s="78">
        <f t="shared" ca="1" si="6"/>
        <v>0</v>
      </c>
      <c r="P21" s="78">
        <f t="shared" ca="1" si="7"/>
        <v>67.021087672493209</v>
      </c>
      <c r="Q21" s="78">
        <f t="shared" ca="1" si="8"/>
        <v>75.957232695492308</v>
      </c>
      <c r="R21" s="78">
        <f t="shared" ca="1" si="9"/>
        <v>80.425305206991851</v>
      </c>
      <c r="S21" s="78">
        <f t="shared" ca="1" si="10"/>
        <v>89.361450229990965</v>
      </c>
      <c r="T21" s="78">
        <f t="shared" ca="1" si="11"/>
        <v>93.829522741490507</v>
      </c>
      <c r="U21" s="78">
        <f t="shared" ca="1" si="12"/>
        <v>98.297595252990064</v>
      </c>
      <c r="V21" s="78">
        <f t="shared" ca="1" si="13"/>
        <v>102.76566776448959</v>
      </c>
      <c r="W21" s="78">
        <f t="shared" ca="1" si="14"/>
        <v>111.70181278748869</v>
      </c>
      <c r="X21" s="78">
        <f t="shared" ca="1" si="15"/>
        <v>111.70181278748869</v>
      </c>
      <c r="Y21" s="78">
        <f t="shared" ca="1" si="16"/>
        <v>111.70181278748869</v>
      </c>
      <c r="Z21" s="78">
        <f t="shared" ca="1" si="17"/>
        <v>111.70181278748869</v>
      </c>
      <c r="AA21" s="78">
        <f t="shared" ca="1" si="18"/>
        <v>111.70181278748869</v>
      </c>
      <c r="AB21" s="78">
        <f t="shared" ca="1" si="19"/>
        <v>0</v>
      </c>
    </row>
    <row r="22" spans="1:28" x14ac:dyDescent="0.3">
      <c r="A22" s="65">
        <v>14</v>
      </c>
      <c r="B22" s="65">
        <v>55</v>
      </c>
      <c r="C22" s="65">
        <v>46</v>
      </c>
      <c r="D22" s="54">
        <f>IF(C22="","",_xlfn.XLOOKUP(B22,'Pier geometry_1'!A:A,'Pier geometry_1'!I:I)*_xlfn.XLOOKUP(B22,'Pier geometry_1'!A:A,'Pier geometry_1'!H:H)^3/12)</f>
        <v>0.52493653333333334</v>
      </c>
      <c r="E22" s="54">
        <f>IF(C22="","",_xlfn.XLOOKUP(B22,'Pier geometry_1'!A:A,'Pier geometry_1'!I:I)*_xlfn.XLOOKUP(B22,'Pier geometry_1'!A:A,'Pier geometry_1'!H:H))</f>
        <v>1.456</v>
      </c>
      <c r="F22" s="67">
        <f ca="1">IF(E22="","",Max_shearforce_1!P22*((Max_shearforce_1!D22*(3*Max_shearforce_1!D22-Max_shearforce_1!D22))/(6*'Pushover Curve_1'!D22*'Material properties'!$H$11)+(6/5)/('Material properties'!$H$12*'Pushover Curve_1'!E22)))</f>
        <v>3.2754232912647857E-4</v>
      </c>
      <c r="G22" s="68">
        <f ca="1">IF(F22="","",IF(Max_shearforce_1!Q22="Flexure",0.0065,0.0043))</f>
        <v>6.4999999999999997E-3</v>
      </c>
      <c r="H22" s="69">
        <f t="shared" ca="1" si="1"/>
        <v>2E-3</v>
      </c>
      <c r="I22" s="71">
        <f t="shared" ca="1" si="2"/>
        <v>2</v>
      </c>
      <c r="J22" s="69">
        <f t="shared" ca="1" si="3"/>
        <v>3.9699999999999999E-2</v>
      </c>
      <c r="K22" s="71">
        <f t="shared" ca="1" si="4"/>
        <v>39.699999999999996</v>
      </c>
      <c r="L22" s="53">
        <f ca="1">IF(J22="","",Max_shearforce_1!P22)</f>
        <v>57027.754996646931</v>
      </c>
      <c r="M22" s="71">
        <f t="shared" ca="1" si="5"/>
        <v>57.027754996646934</v>
      </c>
      <c r="N22" s="65">
        <v>14</v>
      </c>
      <c r="O22" s="78">
        <f t="shared" ca="1" si="6"/>
        <v>0</v>
      </c>
      <c r="P22" s="78">
        <f t="shared" ca="1" si="7"/>
        <v>42.7708162474852</v>
      </c>
      <c r="Q22" s="78">
        <f t="shared" ca="1" si="8"/>
        <v>48.473591747149889</v>
      </c>
      <c r="R22" s="78">
        <f t="shared" ca="1" si="9"/>
        <v>51.324979496982245</v>
      </c>
      <c r="S22" s="78">
        <f t="shared" ca="1" si="10"/>
        <v>57.027754996646934</v>
      </c>
      <c r="T22" s="78">
        <f t="shared" ca="1" si="11"/>
        <v>57.027754996646934</v>
      </c>
      <c r="U22" s="78">
        <f t="shared" ca="1" si="12"/>
        <v>57.027754996646934</v>
      </c>
      <c r="V22" s="78">
        <f t="shared" ca="1" si="13"/>
        <v>57.027754996646934</v>
      </c>
      <c r="W22" s="78">
        <f t="shared" ca="1" si="14"/>
        <v>57.027754996646934</v>
      </c>
      <c r="X22" s="78">
        <f t="shared" ca="1" si="15"/>
        <v>57.027754996646934</v>
      </c>
      <c r="Y22" s="78">
        <f t="shared" ca="1" si="16"/>
        <v>57.027754996646934</v>
      </c>
      <c r="Z22" s="78">
        <f t="shared" ca="1" si="17"/>
        <v>57.027754996646934</v>
      </c>
      <c r="AA22" s="78">
        <f t="shared" ca="1" si="18"/>
        <v>57.027754996646934</v>
      </c>
      <c r="AB22" s="78">
        <f t="shared" ca="1" si="19"/>
        <v>0</v>
      </c>
    </row>
    <row r="23" spans="1:28" x14ac:dyDescent="0.3">
      <c r="A23"/>
      <c r="B23"/>
      <c r="C23"/>
      <c r="D23" t="str">
        <f>IF(C23="","",_xlfn.XLOOKUP(B23,'Pier geometry_1'!A:A,'Pier geometry_1'!I:I)*_xlfn.XLOOKUP(B23,'Pier geometry_1'!A:A,'Pier geometry_1'!H:H)^3/12)</f>
        <v/>
      </c>
      <c r="E23" t="str">
        <f>IF(C23="","",_xlfn.XLOOKUP(B23,'Pier geometry_1'!A:A,'Pier geometry_1'!I:I)*_xlfn.XLOOKUP(B23,'Pier geometry_1'!A:A,'Pier geometry_1'!H:H))</f>
        <v/>
      </c>
      <c r="F23" t="str">
        <f>IF(E23="","",Max_shearforce_1!P23*((Max_shearforce_1!D23*(3*Max_shearforce_1!D23-Max_shearforce_1!D23))/(6*'Pushover Curve_1'!D23*'Material properties'!$H$11)+(6/5)/('Material properties'!$H$12*'Pushover Curve_1'!E23)))</f>
        <v/>
      </c>
      <c r="G23" t="str">
        <f>IF(F23="","",IF(Max_shearforce_1!Q23="Flexure",0.0065,0.0043))</f>
        <v/>
      </c>
      <c r="H23" t="str">
        <f t="shared" si="1"/>
        <v/>
      </c>
      <c r="I23" t="str">
        <f t="shared" si="2"/>
        <v/>
      </c>
      <c r="J23" t="str">
        <f t="shared" si="3"/>
        <v/>
      </c>
      <c r="K23" t="str">
        <f t="shared" si="4"/>
        <v/>
      </c>
      <c r="L23" t="str">
        <f>IF(J23="","",Max_shearforce_1!P23)</f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Y23" t="str">
        <f t="shared" si="16"/>
        <v/>
      </c>
      <c r="Z23" t="str">
        <f t="shared" si="17"/>
        <v/>
      </c>
      <c r="AA23" t="str">
        <f t="shared" si="18"/>
        <v/>
      </c>
      <c r="AB23" t="str">
        <f t="shared" si="19"/>
        <v/>
      </c>
    </row>
    <row r="24" spans="1:28" x14ac:dyDescent="0.3">
      <c r="A24" s="46" t="s">
        <v>40</v>
      </c>
      <c r="B24"/>
      <c r="C24"/>
      <c r="D24" t="str">
        <f>IF(C24="","",_xlfn.XLOOKUP(B24,'Pier geometry_1'!A:A,'Pier geometry_1'!I:I)*_xlfn.XLOOKUP(B24,'Pier geometry_1'!A:A,'Pier geometry_1'!H:H)^3/12)</f>
        <v/>
      </c>
      <c r="E24" t="str">
        <f>IF(C24="","",_xlfn.XLOOKUP(B24,'Pier geometry_1'!A:A,'Pier geometry_1'!I:I)*_xlfn.XLOOKUP(B24,'Pier geometry_1'!A:A,'Pier geometry_1'!H:H))</f>
        <v/>
      </c>
      <c r="F24" t="str">
        <f>IF(E24="","",Max_shearforce_1!P24*((Max_shearforce_1!D24*(3*Max_shearforce_1!D24-Max_shearforce_1!D24))/(6*'Pushover Curve_1'!D24*'Material properties'!$H$11)+(6/5)/('Material properties'!$H$12*'Pushover Curve_1'!E24)))</f>
        <v/>
      </c>
      <c r="G24" t="str">
        <f>IF(F24="","",IF(Max_shearforce_1!Q24="Flexure",0.0065,0.0043))</f>
        <v/>
      </c>
      <c r="H24" t="str">
        <f t="shared" si="1"/>
        <v/>
      </c>
      <c r="I24" t="str">
        <f t="shared" si="2"/>
        <v/>
      </c>
      <c r="J24" t="str">
        <f t="shared" si="3"/>
        <v/>
      </c>
      <c r="K24" t="str">
        <f t="shared" si="4"/>
        <v/>
      </c>
      <c r="L24" t="str">
        <f>IF(J24="","",Max_shearforce_1!P24)</f>
        <v/>
      </c>
      <c r="M24" t="str">
        <f t="shared" si="5"/>
        <v/>
      </c>
      <c r="N24" s="46" t="s">
        <v>40</v>
      </c>
      <c r="O24" s="77" t="str">
        <f t="shared" si="6"/>
        <v/>
      </c>
      <c r="P24" s="77" t="str">
        <f t="shared" si="7"/>
        <v/>
      </c>
      <c r="Q24" s="77" t="str">
        <f t="shared" si="8"/>
        <v/>
      </c>
      <c r="R24" s="77" t="str">
        <f t="shared" si="9"/>
        <v/>
      </c>
      <c r="S24" s="77" t="str">
        <f t="shared" si="10"/>
        <v/>
      </c>
      <c r="T24" s="77" t="str">
        <f t="shared" si="11"/>
        <v/>
      </c>
      <c r="U24" s="77" t="str">
        <f t="shared" si="12"/>
        <v/>
      </c>
      <c r="V24" s="77" t="str">
        <f t="shared" si="13"/>
        <v/>
      </c>
      <c r="W24" s="77" t="str">
        <f t="shared" si="14"/>
        <v/>
      </c>
      <c r="X24" s="77" t="str">
        <f t="shared" si="15"/>
        <v/>
      </c>
      <c r="Y24" s="77" t="str">
        <f t="shared" si="16"/>
        <v/>
      </c>
      <c r="Z24" s="77" t="str">
        <f t="shared" si="17"/>
        <v/>
      </c>
      <c r="AA24" s="77" t="str">
        <f t="shared" si="18"/>
        <v/>
      </c>
      <c r="AB24" s="77" t="str">
        <f t="shared" si="19"/>
        <v/>
      </c>
    </row>
    <row r="25" spans="1:28" x14ac:dyDescent="0.3">
      <c r="A25" s="65">
        <v>18</v>
      </c>
      <c r="B25" s="65">
        <v>83</v>
      </c>
      <c r="C25" s="65">
        <v>75</v>
      </c>
      <c r="D25" s="54">
        <f>IF(C25="","",_xlfn.XLOOKUP(B25,'Pier geometry_1'!A:A,'Pier geometry_1'!I:I)*_xlfn.XLOOKUP(B25,'Pier geometry_1'!A:A,'Pier geometry_1'!H:H)^3/12)</f>
        <v>1.2805333333333329</v>
      </c>
      <c r="E25" s="54">
        <f>IF(C25="","",_xlfn.XLOOKUP(B25,'Pier geometry_1'!A:A,'Pier geometry_1'!I:I)*_xlfn.XLOOKUP(B25,'Pier geometry_1'!A:A,'Pier geometry_1'!H:H))</f>
        <v>1.9599999999999997</v>
      </c>
      <c r="F25" s="67">
        <f ca="1">IF(E25="","",Max_shearforce_1!P25*((Max_shearforce_1!D25*(3*Max_shearforce_1!D25-Max_shearforce_1!D25))/(6*'Pushover Curve_1'!D25*'Material properties'!$H$11)+(6/5)/('Material properties'!$H$12*'Pushover Curve_1'!E25)))</f>
        <v>3.175656628995334E-4</v>
      </c>
      <c r="G25" s="68">
        <f ca="1">IF(F25="","",IF(Max_shearforce_1!Q25="Flexure",0.0065,0.0043))</f>
        <v>6.4999999999999997E-3</v>
      </c>
      <c r="H25" s="69">
        <f t="shared" ca="1" si="1"/>
        <v>1.9E-3</v>
      </c>
      <c r="I25" s="71">
        <f t="shared" ca="1" si="2"/>
        <v>1.9</v>
      </c>
      <c r="J25" s="69">
        <f t="shared" ca="1" si="3"/>
        <v>3.9699999999999999E-2</v>
      </c>
      <c r="K25" s="71">
        <f t="shared" ca="1" si="4"/>
        <v>39.699999999999996</v>
      </c>
      <c r="L25" s="53">
        <f ca="1">IF(J25="","",Max_shearforce_1!P25)</f>
        <v>91993.7852348819</v>
      </c>
      <c r="M25" s="71">
        <f t="shared" ca="1" si="5"/>
        <v>91.993785234881898</v>
      </c>
      <c r="N25" s="65">
        <v>18</v>
      </c>
      <c r="O25" s="78">
        <f t="shared" ca="1" si="6"/>
        <v>0</v>
      </c>
      <c r="P25" s="78">
        <f t="shared" ca="1" si="7"/>
        <v>72.626672553854135</v>
      </c>
      <c r="Q25" s="78">
        <f t="shared" ca="1" si="8"/>
        <v>82.310228894368009</v>
      </c>
      <c r="R25" s="78">
        <f t="shared" ca="1" si="9"/>
        <v>87.152007064624968</v>
      </c>
      <c r="S25" s="78">
        <f t="shared" ca="1" si="10"/>
        <v>91.993785234881898</v>
      </c>
      <c r="T25" s="78">
        <f t="shared" ca="1" si="11"/>
        <v>91.993785234881898</v>
      </c>
      <c r="U25" s="78">
        <f t="shared" ca="1" si="12"/>
        <v>91.993785234881898</v>
      </c>
      <c r="V25" s="78">
        <f t="shared" ca="1" si="13"/>
        <v>91.993785234881898</v>
      </c>
      <c r="W25" s="78">
        <f t="shared" ca="1" si="14"/>
        <v>91.993785234881898</v>
      </c>
      <c r="X25" s="78">
        <f t="shared" ca="1" si="15"/>
        <v>91.993785234881898</v>
      </c>
      <c r="Y25" s="78">
        <f t="shared" ca="1" si="16"/>
        <v>91.993785234881898</v>
      </c>
      <c r="Z25" s="78">
        <f t="shared" ca="1" si="17"/>
        <v>91.993785234881898</v>
      </c>
      <c r="AA25" s="78">
        <f t="shared" ca="1" si="18"/>
        <v>91.993785234881898</v>
      </c>
      <c r="AB25" s="78">
        <f t="shared" ca="1" si="19"/>
        <v>0</v>
      </c>
    </row>
    <row r="26" spans="1:28" x14ac:dyDescent="0.3">
      <c r="A26" s="65">
        <v>19</v>
      </c>
      <c r="B26" s="65" t="s">
        <v>86</v>
      </c>
      <c r="C26" s="65" t="s">
        <v>85</v>
      </c>
      <c r="D26" s="54">
        <f>IF(C26="","",_xlfn.XLOOKUP(B26,'Pier geometry_1'!A:A,'Pier geometry_1'!I:I)*_xlfn.XLOOKUP(B26,'Pier geometry_1'!A:A,'Pier geometry_1'!H:H)^3/12)</f>
        <v>13.502740066666668</v>
      </c>
      <c r="E26" s="54">
        <f>IF(C26="","",_xlfn.XLOOKUP(B26,'Pier geometry_1'!A:A,'Pier geometry_1'!I:I)*_xlfn.XLOOKUP(B26,'Pier geometry_1'!A:A,'Pier geometry_1'!H:H))</f>
        <v>4.298</v>
      </c>
      <c r="F26" s="67">
        <f ca="1">IF(E26="","",Max_shearforce_1!P26*((Max_shearforce_1!D26*(3*Max_shearforce_1!D26-Max_shearforce_1!D26))/(6*'Pushover Curve_1'!D26*'Material properties'!$H$11)+(6/5)/('Material properties'!$H$12*'Pushover Curve_1'!E26)))</f>
        <v>3.446697665145146E-4</v>
      </c>
      <c r="G26" s="68">
        <f ca="1">IF(F26="","",IF(Max_shearforce_1!Q26="Flexure",0.0065,0.0043))</f>
        <v>4.3E-3</v>
      </c>
      <c r="H26" s="69">
        <f t="shared" ca="1" si="1"/>
        <v>2.0999999999999999E-3</v>
      </c>
      <c r="I26" s="71">
        <f t="shared" ca="1" si="2"/>
        <v>2.1</v>
      </c>
      <c r="J26" s="69">
        <f t="shared" ca="1" si="3"/>
        <v>2.6200000000000001E-2</v>
      </c>
      <c r="K26" s="71">
        <f t="shared" ca="1" si="4"/>
        <v>26.200000000000003</v>
      </c>
      <c r="L26" s="53">
        <f ca="1">IF(J26="","",Max_shearforce_1!P26)</f>
        <v>284399.00821109087</v>
      </c>
      <c r="M26" s="71">
        <f t="shared" ca="1" si="5"/>
        <v>284.39900821109086</v>
      </c>
      <c r="N26" s="65">
        <v>19</v>
      </c>
      <c r="O26" s="78">
        <f t="shared" ca="1" si="6"/>
        <v>0</v>
      </c>
      <c r="P26" s="78">
        <f t="shared" ca="1" si="7"/>
        <v>203.14214872220776</v>
      </c>
      <c r="Q26" s="78">
        <f t="shared" ca="1" si="8"/>
        <v>230.22776855183542</v>
      </c>
      <c r="R26" s="78">
        <f t="shared" ca="1" si="9"/>
        <v>243.77057846664928</v>
      </c>
      <c r="S26" s="78">
        <f t="shared" ca="1" si="10"/>
        <v>270.856198296277</v>
      </c>
      <c r="T26" s="78">
        <f t="shared" ca="1" si="11"/>
        <v>284.39900821109086</v>
      </c>
      <c r="U26" s="78">
        <f t="shared" ca="1" si="12"/>
        <v>284.39900821109086</v>
      </c>
      <c r="V26" s="78">
        <f t="shared" ca="1" si="13"/>
        <v>284.39900821109086</v>
      </c>
      <c r="W26" s="78">
        <f t="shared" ca="1" si="14"/>
        <v>284.39900821109086</v>
      </c>
      <c r="X26" s="78">
        <f t="shared" ca="1" si="15"/>
        <v>284.39900821109086</v>
      </c>
      <c r="Y26" s="78">
        <f t="shared" ca="1" si="16"/>
        <v>284.39900821109086</v>
      </c>
      <c r="Z26" s="78">
        <f t="shared" ca="1" si="17"/>
        <v>284.39900821109086</v>
      </c>
      <c r="AA26" s="78">
        <f t="shared" ca="1" si="18"/>
        <v>0</v>
      </c>
      <c r="AB26" s="78">
        <f t="shared" ca="1" si="19"/>
        <v>0</v>
      </c>
    </row>
    <row r="27" spans="1:28" x14ac:dyDescent="0.3">
      <c r="A27" s="65">
        <v>20</v>
      </c>
      <c r="B27" s="65">
        <v>86</v>
      </c>
      <c r="C27" s="65">
        <v>78</v>
      </c>
      <c r="D27" s="54">
        <f>IF(C27="","",_xlfn.XLOOKUP(B27,'Pier geometry_1'!A:A,'Pier geometry_1'!I:I)*_xlfn.XLOOKUP(B27,'Pier geometry_1'!A:A,'Pier geometry_1'!H:H)^3/12)</f>
        <v>0.21304873333333332</v>
      </c>
      <c r="E27" s="54">
        <f>IF(C27="","",_xlfn.XLOOKUP(B27,'Pier geometry_1'!A:A,'Pier geometry_1'!I:I)*_xlfn.XLOOKUP(B27,'Pier geometry_1'!A:A,'Pier geometry_1'!H:H))</f>
        <v>1.0779999999999998</v>
      </c>
      <c r="F27" s="67">
        <f ca="1">IF(E27="","",Max_shearforce_1!P27*((Max_shearforce_1!D27*(3*Max_shearforce_1!D27-Max_shearforce_1!D27))/(6*'Pushover Curve_1'!D27*'Material properties'!$H$11)+(6/5)/('Material properties'!$H$12*'Pushover Curve_1'!E27)))</f>
        <v>4.8858441075014432E-4</v>
      </c>
      <c r="G27" s="68">
        <f ca="1">IF(F27="","",IF(Max_shearforce_1!Q27="Flexure",0.0065,0.0043))</f>
        <v>6.4999999999999997E-3</v>
      </c>
      <c r="H27" s="69">
        <f t="shared" ca="1" si="1"/>
        <v>3.0000000000000001E-3</v>
      </c>
      <c r="I27" s="71">
        <f t="shared" ca="1" si="2"/>
        <v>3</v>
      </c>
      <c r="J27" s="69">
        <f t="shared" ca="1" si="3"/>
        <v>3.9699999999999999E-2</v>
      </c>
      <c r="K27" s="71">
        <f t="shared" ca="1" si="4"/>
        <v>39.699999999999996</v>
      </c>
      <c r="L27" s="53">
        <f ca="1">IF(J27="","",Max_shearforce_1!P27)</f>
        <v>46613.682745270205</v>
      </c>
      <c r="M27" s="71">
        <f t="shared" ca="1" si="5"/>
        <v>46.613682745270204</v>
      </c>
      <c r="N27" s="65">
        <v>20</v>
      </c>
      <c r="O27" s="78">
        <f t="shared" ca="1" si="6"/>
        <v>0</v>
      </c>
      <c r="P27" s="78">
        <f t="shared" ca="1" si="7"/>
        <v>23.306841372635102</v>
      </c>
      <c r="Q27" s="78">
        <f t="shared" ca="1" si="8"/>
        <v>26.41442022231978</v>
      </c>
      <c r="R27" s="78">
        <f t="shared" ca="1" si="9"/>
        <v>27.968209647162123</v>
      </c>
      <c r="S27" s="78">
        <f t="shared" ca="1" si="10"/>
        <v>31.075788496846801</v>
      </c>
      <c r="T27" s="78">
        <f t="shared" ca="1" si="11"/>
        <v>32.629577921689148</v>
      </c>
      <c r="U27" s="78">
        <f t="shared" ca="1" si="12"/>
        <v>34.183367346531483</v>
      </c>
      <c r="V27" s="78">
        <f t="shared" ca="1" si="13"/>
        <v>35.737156771373819</v>
      </c>
      <c r="W27" s="78">
        <f t="shared" ca="1" si="14"/>
        <v>46.613682745270204</v>
      </c>
      <c r="X27" s="78">
        <f t="shared" ca="1" si="15"/>
        <v>46.613682745270204</v>
      </c>
      <c r="Y27" s="78">
        <f t="shared" ca="1" si="16"/>
        <v>46.613682745270204</v>
      </c>
      <c r="Z27" s="78">
        <f t="shared" ca="1" si="17"/>
        <v>46.613682745270204</v>
      </c>
      <c r="AA27" s="78">
        <f t="shared" ca="1" si="18"/>
        <v>46.613682745270204</v>
      </c>
      <c r="AB27" s="78">
        <f t="shared" ca="1" si="19"/>
        <v>0</v>
      </c>
    </row>
    <row r="28" spans="1:28" x14ac:dyDescent="0.3">
      <c r="A28" s="65">
        <v>21</v>
      </c>
      <c r="B28" s="65">
        <v>87</v>
      </c>
      <c r="C28" s="65">
        <v>79</v>
      </c>
      <c r="D28" s="54">
        <f>IF(C28="","",_xlfn.XLOOKUP(B28,'Pier geometry_1'!A:A,'Pier geometry_1'!I:I)*_xlfn.XLOOKUP(B28,'Pier geometry_1'!A:A,'Pier geometry_1'!H:H)^3/12)</f>
        <v>1.1481750000000002</v>
      </c>
      <c r="E28" s="54">
        <f>IF(C28="","",_xlfn.XLOOKUP(B28,'Pier geometry_1'!A:A,'Pier geometry_1'!I:I)*_xlfn.XLOOKUP(B28,'Pier geometry_1'!A:A,'Pier geometry_1'!H:H))</f>
        <v>1.89</v>
      </c>
      <c r="F28" s="67">
        <f ca="1">IF(E28="","",Max_shearforce_1!P28*((Max_shearforce_1!D28*(3*Max_shearforce_1!D28-Max_shearforce_1!D28))/(6*'Pushover Curve_1'!D28*'Material properties'!$H$11)+(6/5)/('Material properties'!$H$12*'Pushover Curve_1'!E28)))</f>
        <v>3.1012728489707907E-4</v>
      </c>
      <c r="G28" s="68">
        <f ca="1">IF(F28="","",IF(Max_shearforce_1!Q28="Flexure",0.0065,0.0043))</f>
        <v>6.4999999999999997E-3</v>
      </c>
      <c r="H28" s="69">
        <f t="shared" ca="1" si="1"/>
        <v>1.9E-3</v>
      </c>
      <c r="I28" s="71">
        <f t="shared" ca="1" si="2"/>
        <v>1.9</v>
      </c>
      <c r="J28" s="69">
        <f t="shared" ca="1" si="3"/>
        <v>3.9699999999999999E-2</v>
      </c>
      <c r="K28" s="71">
        <f t="shared" ca="1" si="4"/>
        <v>39.699999999999996</v>
      </c>
      <c r="L28" s="53">
        <f ca="1">IF(J28="","",Max_shearforce_1!P28)</f>
        <v>84772.075918694696</v>
      </c>
      <c r="M28" s="71">
        <f t="shared" ca="1" si="5"/>
        <v>84.772075918694696</v>
      </c>
      <c r="N28" s="65">
        <v>21</v>
      </c>
      <c r="O28" s="78">
        <f t="shared" ca="1" si="6"/>
        <v>0</v>
      </c>
      <c r="P28" s="78">
        <f t="shared" ca="1" si="7"/>
        <v>66.925323093706339</v>
      </c>
      <c r="Q28" s="78">
        <f t="shared" ca="1" si="8"/>
        <v>75.848699506200518</v>
      </c>
      <c r="R28" s="78">
        <f t="shared" ca="1" si="9"/>
        <v>80.310387712447607</v>
      </c>
      <c r="S28" s="78">
        <f t="shared" ca="1" si="10"/>
        <v>84.772075918694696</v>
      </c>
      <c r="T28" s="78">
        <f t="shared" ca="1" si="11"/>
        <v>84.772075918694696</v>
      </c>
      <c r="U28" s="78">
        <f t="shared" ca="1" si="12"/>
        <v>84.772075918694696</v>
      </c>
      <c r="V28" s="78">
        <f t="shared" ca="1" si="13"/>
        <v>84.772075918694696</v>
      </c>
      <c r="W28" s="78">
        <f t="shared" ca="1" si="14"/>
        <v>84.772075918694696</v>
      </c>
      <c r="X28" s="78">
        <f t="shared" ca="1" si="15"/>
        <v>84.772075918694696</v>
      </c>
      <c r="Y28" s="78">
        <f t="shared" ca="1" si="16"/>
        <v>84.772075918694696</v>
      </c>
      <c r="Z28" s="78">
        <f t="shared" ca="1" si="17"/>
        <v>84.772075918694696</v>
      </c>
      <c r="AA28" s="78">
        <f t="shared" ca="1" si="18"/>
        <v>84.772075918694696</v>
      </c>
      <c r="AB28" s="78">
        <f t="shared" ca="1" si="19"/>
        <v>0</v>
      </c>
    </row>
    <row r="29" spans="1:28" x14ac:dyDescent="0.3">
      <c r="A29"/>
      <c r="B29"/>
      <c r="C29"/>
      <c r="D29" t="str">
        <f>IF(C29="","",_xlfn.XLOOKUP(B29,'Pier geometry_1'!A:A,'Pier geometry_1'!I:I)*_xlfn.XLOOKUP(B29,'Pier geometry_1'!A:A,'Pier geometry_1'!H:H)^3/12)</f>
        <v/>
      </c>
      <c r="E29" t="str">
        <f>IF(C29="","",_xlfn.XLOOKUP(B29,'Pier geometry_1'!A:A,'Pier geometry_1'!I:I)*_xlfn.XLOOKUP(B29,'Pier geometry_1'!A:A,'Pier geometry_1'!H:H))</f>
        <v/>
      </c>
      <c r="F29" t="str">
        <f>IF(E29="","",Max_shearforce_1!P29*((Max_shearforce_1!D29*(3*Max_shearforce_1!D29-Max_shearforce_1!D29))/(6*'Pushover Curve_1'!D29*'Material properties'!$H$11)+(6/5)/('Material properties'!$H$12*'Pushover Curve_1'!E29)))</f>
        <v/>
      </c>
      <c r="G29" t="str">
        <f>IF(F29="","",IF(Max_shearforce_1!Q29="Flexure",0.0065,0.0043))</f>
        <v/>
      </c>
      <c r="H29" t="str">
        <f t="shared" si="1"/>
        <v/>
      </c>
      <c r="I29" t="str">
        <f t="shared" si="2"/>
        <v/>
      </c>
      <c r="J29" t="str">
        <f t="shared" si="3"/>
        <v/>
      </c>
      <c r="K29" t="str">
        <f t="shared" si="4"/>
        <v/>
      </c>
      <c r="L29" t="str">
        <f>IF(J29="","",Max_shearforce_1!P29)</f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Y29" t="str">
        <f t="shared" si="16"/>
        <v/>
      </c>
      <c r="Z29" t="str">
        <f t="shared" si="17"/>
        <v/>
      </c>
      <c r="AA29" t="str">
        <f t="shared" si="18"/>
        <v/>
      </c>
      <c r="AB29" t="str">
        <f t="shared" si="19"/>
        <v/>
      </c>
    </row>
    <row r="30" spans="1:28" x14ac:dyDescent="0.3">
      <c r="A30" s="46" t="s">
        <v>43</v>
      </c>
      <c r="B30"/>
      <c r="C30"/>
      <c r="D30" t="str">
        <f>IF(C30="","",_xlfn.XLOOKUP(B30,'Pier geometry_1'!A:A,'Pier geometry_1'!I:I)*_xlfn.XLOOKUP(B30,'Pier geometry_1'!A:A,'Pier geometry_1'!H:H)^3/12)</f>
        <v/>
      </c>
      <c r="E30" t="str">
        <f>IF(C30="","",_xlfn.XLOOKUP(B30,'Pier geometry_1'!A:A,'Pier geometry_1'!I:I)*_xlfn.XLOOKUP(B30,'Pier geometry_1'!A:A,'Pier geometry_1'!H:H))</f>
        <v/>
      </c>
      <c r="F30" t="str">
        <f>IF(E30="","",Max_shearforce_1!P30*((Max_shearforce_1!D30*(3*Max_shearforce_1!D30-Max_shearforce_1!D30))/(6*'Pushover Curve_1'!D30*'Material properties'!$H$11)+(6/5)/('Material properties'!$H$12*'Pushover Curve_1'!E30)))</f>
        <v/>
      </c>
      <c r="G30" t="str">
        <f>IF(F30="","",IF(Max_shearforce_1!Q30="Flexure",0.0065,0.0043))</f>
        <v/>
      </c>
      <c r="H30" t="str">
        <f t="shared" si="1"/>
        <v/>
      </c>
      <c r="I30" t="str">
        <f t="shared" si="2"/>
        <v/>
      </c>
      <c r="J30" t="str">
        <f t="shared" si="3"/>
        <v/>
      </c>
      <c r="K30" t="str">
        <f t="shared" si="4"/>
        <v/>
      </c>
      <c r="L30" t="str">
        <f>IF(J30="","",Max_shearforce_1!P30)</f>
        <v/>
      </c>
      <c r="M30" t="str">
        <f t="shared" si="5"/>
        <v/>
      </c>
      <c r="N30" s="46" t="s">
        <v>43</v>
      </c>
      <c r="O30" s="77" t="str">
        <f t="shared" si="6"/>
        <v/>
      </c>
      <c r="P30" s="77" t="str">
        <f t="shared" si="7"/>
        <v/>
      </c>
      <c r="Q30" s="77" t="str">
        <f t="shared" si="8"/>
        <v/>
      </c>
      <c r="R30" s="77" t="str">
        <f t="shared" si="9"/>
        <v/>
      </c>
      <c r="S30" s="77" t="str">
        <f t="shared" si="10"/>
        <v/>
      </c>
      <c r="T30" s="77" t="str">
        <f t="shared" si="11"/>
        <v/>
      </c>
      <c r="U30" s="77" t="str">
        <f t="shared" si="12"/>
        <v/>
      </c>
      <c r="V30" s="77" t="str">
        <f t="shared" si="13"/>
        <v/>
      </c>
      <c r="W30" s="77" t="str">
        <f t="shared" si="14"/>
        <v/>
      </c>
      <c r="X30" s="77" t="str">
        <f t="shared" si="15"/>
        <v/>
      </c>
      <c r="Y30" s="77" t="str">
        <f t="shared" si="16"/>
        <v/>
      </c>
      <c r="Z30" s="77" t="str">
        <f t="shared" si="17"/>
        <v/>
      </c>
      <c r="AA30" s="77" t="str">
        <f t="shared" si="18"/>
        <v/>
      </c>
      <c r="AB30" s="77" t="str">
        <f t="shared" si="19"/>
        <v/>
      </c>
    </row>
    <row r="31" spans="1:28" x14ac:dyDescent="0.3">
      <c r="A31" s="65">
        <v>29</v>
      </c>
      <c r="B31" s="65">
        <v>116</v>
      </c>
      <c r="C31" s="65">
        <v>113</v>
      </c>
      <c r="D31" s="54">
        <f>IF(C31="","",_xlfn.XLOOKUP(B31,'Pier geometry_1'!A:A,'Pier geometry_1'!I:I)*_xlfn.XLOOKUP(B31,'Pier geometry_1'!A:A,'Pier geometry_1'!H:H)^3/12)</f>
        <v>1.143333333333333E-2</v>
      </c>
      <c r="E31" s="54">
        <f>IF(C31="","",_xlfn.XLOOKUP(B31,'Pier geometry_1'!A:A,'Pier geometry_1'!I:I)*_xlfn.XLOOKUP(B31,'Pier geometry_1'!A:A,'Pier geometry_1'!H:H))</f>
        <v>0.27999999999999997</v>
      </c>
      <c r="F31" s="67">
        <f ca="1">IF(E31="","",Max_shearforce_1!P31*((Max_shearforce_1!D31*(3*Max_shearforce_1!D31-Max_shearforce_1!D31))/(6*'Pushover Curve_1'!D31*'Material properties'!$H$11)+(6/5)/('Material properties'!$H$12*'Pushover Curve_1'!E31)))</f>
        <v>6.7802807448382341E-4</v>
      </c>
      <c r="G31" s="68">
        <f ca="1">IF(F31="","",IF(Max_shearforce_1!Q31="Flexure",0.0065,0.0043))</f>
        <v>6.4999999999999997E-3</v>
      </c>
      <c r="H31" s="69">
        <f t="shared" ca="1" si="1"/>
        <v>4.1000000000000003E-3</v>
      </c>
      <c r="I31" s="71">
        <f t="shared" ca="1" si="2"/>
        <v>4.1000000000000005</v>
      </c>
      <c r="J31" s="69">
        <f t="shared" ca="1" si="3"/>
        <v>3.9699999999999999E-2</v>
      </c>
      <c r="K31" s="71">
        <f t="shared" ca="1" si="4"/>
        <v>39.699999999999996</v>
      </c>
      <c r="L31" s="53">
        <f ca="1">IF(J31="","",Max_shearforce_1!P31)</f>
        <v>5236.3471078043685</v>
      </c>
      <c r="M31" s="71">
        <f t="shared" ca="1" si="5"/>
        <v>5.2363471078043684</v>
      </c>
      <c r="N31" s="65">
        <v>29</v>
      </c>
      <c r="O31" s="78">
        <f t="shared" ca="1" si="6"/>
        <v>0</v>
      </c>
      <c r="P31" s="78">
        <f t="shared" ca="1" si="7"/>
        <v>1.9157367467576953</v>
      </c>
      <c r="Q31" s="78">
        <f t="shared" ca="1" si="8"/>
        <v>2.1711683129920547</v>
      </c>
      <c r="R31" s="78">
        <f t="shared" ca="1" si="9"/>
        <v>2.2988840961092345</v>
      </c>
      <c r="S31" s="78">
        <f t="shared" ca="1" si="10"/>
        <v>2.5543156623435941</v>
      </c>
      <c r="T31" s="78">
        <f t="shared" ca="1" si="11"/>
        <v>2.6820314454607734</v>
      </c>
      <c r="U31" s="78">
        <f t="shared" ca="1" si="12"/>
        <v>2.8097472285779532</v>
      </c>
      <c r="V31" s="78">
        <f t="shared" ca="1" si="13"/>
        <v>2.9374630116951326</v>
      </c>
      <c r="W31" s="78">
        <f t="shared" ca="1" si="14"/>
        <v>4.0869050597497507</v>
      </c>
      <c r="X31" s="78">
        <f t="shared" ca="1" si="15"/>
        <v>5.2363471078043684</v>
      </c>
      <c r="Y31" s="78">
        <f t="shared" ca="1" si="16"/>
        <v>5.2363471078043684</v>
      </c>
      <c r="Z31" s="78">
        <f t="shared" ca="1" si="17"/>
        <v>5.2363471078043684</v>
      </c>
      <c r="AA31" s="78">
        <f t="shared" ca="1" si="18"/>
        <v>5.2363471078043684</v>
      </c>
      <c r="AB31" s="78">
        <f t="shared" ca="1" si="19"/>
        <v>0</v>
      </c>
    </row>
    <row r="32" spans="1:28" x14ac:dyDescent="0.3">
      <c r="A32" s="65">
        <v>30</v>
      </c>
      <c r="B32" s="65">
        <v>117</v>
      </c>
      <c r="C32" s="65">
        <v>114</v>
      </c>
      <c r="D32" s="54">
        <f>IF(C32="","",_xlfn.XLOOKUP(B32,'Pier geometry_1'!A:A,'Pier geometry_1'!I:I)*_xlfn.XLOOKUP(B32,'Pier geometry_1'!A:A,'Pier geometry_1'!H:H)^3/12)</f>
        <v>1.4048064000000002</v>
      </c>
      <c r="E32" s="54">
        <f>IF(C32="","",_xlfn.XLOOKUP(B32,'Pier geometry_1'!A:A,'Pier geometry_1'!I:I)*_xlfn.XLOOKUP(B32,'Pier geometry_1'!A:A,'Pier geometry_1'!H:H))</f>
        <v>1.3920000000000001</v>
      </c>
      <c r="F32" s="67">
        <f ca="1">IF(E32="","",Max_shearforce_1!P32*((Max_shearforce_1!D32*(3*Max_shearforce_1!D32-Max_shearforce_1!D32))/(6*'Pushover Curve_1'!D32*'Material properties'!$H$11)+(6/5)/('Material properties'!$H$12*'Pushover Curve_1'!E32)))</f>
        <v>3.3693735297202519E-4</v>
      </c>
      <c r="G32" s="68">
        <f ca="1">IF(F32="","",IF(Max_shearforce_1!Q32="Flexure",0.0065,0.0043))</f>
        <v>4.3E-3</v>
      </c>
      <c r="H32" s="69">
        <f t="shared" ca="1" si="1"/>
        <v>2.0999999999999999E-3</v>
      </c>
      <c r="I32" s="71">
        <f t="shared" ca="1" si="2"/>
        <v>2.1</v>
      </c>
      <c r="J32" s="69">
        <f t="shared" ca="1" si="3"/>
        <v>2.6200000000000001E-2</v>
      </c>
      <c r="K32" s="71">
        <f t="shared" ca="1" si="4"/>
        <v>26.200000000000003</v>
      </c>
      <c r="L32" s="53">
        <f ca="1">IF(J32="","",Max_shearforce_1!P32)</f>
        <v>77233.202786196038</v>
      </c>
      <c r="M32" s="71">
        <f t="shared" ca="1" si="5"/>
        <v>77.233202786196031</v>
      </c>
      <c r="N32" s="65">
        <v>30</v>
      </c>
      <c r="O32" s="78">
        <f t="shared" ca="1" si="6"/>
        <v>0</v>
      </c>
      <c r="P32" s="78">
        <f t="shared" ca="1" si="7"/>
        <v>55.166573418711451</v>
      </c>
      <c r="Q32" s="78">
        <f t="shared" ca="1" si="8"/>
        <v>62.522116541206302</v>
      </c>
      <c r="R32" s="78">
        <f t="shared" ca="1" si="9"/>
        <v>66.199888102453741</v>
      </c>
      <c r="S32" s="78">
        <f t="shared" ca="1" si="10"/>
        <v>73.555431224948592</v>
      </c>
      <c r="T32" s="78">
        <f t="shared" ca="1" si="11"/>
        <v>77.233202786196031</v>
      </c>
      <c r="U32" s="78">
        <f t="shared" ca="1" si="12"/>
        <v>77.233202786196031</v>
      </c>
      <c r="V32" s="78">
        <f t="shared" ca="1" si="13"/>
        <v>77.233202786196031</v>
      </c>
      <c r="W32" s="78">
        <f t="shared" ca="1" si="14"/>
        <v>77.233202786196031</v>
      </c>
      <c r="X32" s="78">
        <f t="shared" ca="1" si="15"/>
        <v>77.233202786196031</v>
      </c>
      <c r="Y32" s="78">
        <f t="shared" ca="1" si="16"/>
        <v>77.233202786196031</v>
      </c>
      <c r="Z32" s="78">
        <f t="shared" ca="1" si="17"/>
        <v>77.233202786196031</v>
      </c>
      <c r="AA32" s="78">
        <f t="shared" ca="1" si="18"/>
        <v>0</v>
      </c>
      <c r="AB32" s="78">
        <f t="shared" ca="1" si="19"/>
        <v>0</v>
      </c>
    </row>
    <row r="33" spans="6:28" x14ac:dyDescent="0.3">
      <c r="F33" s="2"/>
      <c r="G33" s="39"/>
    </row>
    <row r="34" spans="6:28" x14ac:dyDescent="0.3">
      <c r="F34" s="2"/>
      <c r="G34" s="2"/>
      <c r="N34" s="70" t="s">
        <v>137</v>
      </c>
      <c r="O34" s="65">
        <f ca="1">SUM(O10:O32)</f>
        <v>0</v>
      </c>
      <c r="P34" s="65">
        <f t="shared" ref="P34:AB34" ca="1" si="20">SUM(P10:P32)</f>
        <v>930.60534345776637</v>
      </c>
      <c r="Q34" s="65">
        <f t="shared" ca="1" si="20"/>
        <v>1043.2791808985824</v>
      </c>
      <c r="R34" s="65">
        <f t="shared" ca="1" si="20"/>
        <v>1095.5549183006372</v>
      </c>
      <c r="S34" s="65">
        <f t="shared" ca="1" si="20"/>
        <v>1183.0078886122515</v>
      </c>
      <c r="T34" s="65">
        <f t="shared" ca="1" si="20"/>
        <v>1216.3799132344093</v>
      </c>
      <c r="U34" s="65">
        <f t="shared" ca="1" si="20"/>
        <v>1232.5313563805055</v>
      </c>
      <c r="V34" s="65">
        <f t="shared" ca="1" si="20"/>
        <v>1243.9159683160913</v>
      </c>
      <c r="W34" s="65">
        <f t="shared" ca="1" si="20"/>
        <v>1271.6466223326588</v>
      </c>
      <c r="X34" s="65">
        <f t="shared" ca="1" si="20"/>
        <v>1279.564605352331</v>
      </c>
      <c r="Y34" s="65">
        <f t="shared" ca="1" si="20"/>
        <v>1279.564605352331</v>
      </c>
      <c r="Z34" s="65">
        <f t="shared" ca="1" si="20"/>
        <v>1279.564605352331</v>
      </c>
      <c r="AA34" s="65">
        <f t="shared" ca="1" si="20"/>
        <v>917.93239435504404</v>
      </c>
      <c r="AB34" s="65">
        <f t="shared" ca="1" si="20"/>
        <v>0</v>
      </c>
    </row>
    <row r="35" spans="6:28" x14ac:dyDescent="0.3">
      <c r="F35" s="2"/>
      <c r="G35" s="2"/>
      <c r="O35" s="65">
        <f ca="1">MIN(O8*800.38,MAX($O$34:$AB$34))</f>
        <v>0</v>
      </c>
      <c r="P35" s="65">
        <f ca="1">MIN(P8*600.38,MAX($O$34:$AB$34))</f>
        <v>900.56999999999994</v>
      </c>
      <c r="Q35" s="65">
        <f t="shared" ref="Q35:Z35" ca="1" si="21">MIN(Q8*600.38,MAX($O$34:$AB$34))</f>
        <v>1020.646</v>
      </c>
      <c r="R35" s="65">
        <f t="shared" ca="1" si="21"/>
        <v>1080.684</v>
      </c>
      <c r="S35" s="65">
        <f t="shared" ca="1" si="21"/>
        <v>1200.76</v>
      </c>
      <c r="T35" s="65">
        <f t="shared" ca="1" si="21"/>
        <v>1260.798</v>
      </c>
      <c r="U35" s="65">
        <f t="shared" ca="1" si="21"/>
        <v>1279.564605352331</v>
      </c>
      <c r="V35" s="65">
        <f t="shared" ca="1" si="21"/>
        <v>1279.564605352331</v>
      </c>
      <c r="W35" s="65">
        <f t="shared" ca="1" si="21"/>
        <v>1279.564605352331</v>
      </c>
      <c r="X35" s="65">
        <f t="shared" ca="1" si="21"/>
        <v>1279.564605352331</v>
      </c>
      <c r="Y35" s="65">
        <f t="shared" ca="1" si="21"/>
        <v>1279.564605352331</v>
      </c>
      <c r="Z35" s="65">
        <f t="shared" ca="1" si="21"/>
        <v>1279.564605352331</v>
      </c>
      <c r="AA35" s="65">
        <v>0</v>
      </c>
      <c r="AB35" s="65">
        <v>0</v>
      </c>
    </row>
    <row r="36" spans="6:28" ht="14.5" thickBot="1" x14ac:dyDescent="0.35">
      <c r="G36" s="2"/>
    </row>
    <row r="37" spans="6:28" x14ac:dyDescent="0.3">
      <c r="G37" s="2"/>
      <c r="N37" s="87" t="s">
        <v>160</v>
      </c>
      <c r="O37" s="80"/>
      <c r="P37" s="81"/>
      <c r="Q37" s="80">
        <f>U8</f>
        <v>2.2000000000000002</v>
      </c>
      <c r="R37" s="82" t="s">
        <v>161</v>
      </c>
    </row>
    <row r="38" spans="6:28" x14ac:dyDescent="0.3">
      <c r="G38" s="2"/>
      <c r="N38" s="88" t="s">
        <v>162</v>
      </c>
      <c r="O38" s="9"/>
      <c r="Q38" s="9">
        <f>Z8</f>
        <v>26.1</v>
      </c>
      <c r="R38" s="83" t="s">
        <v>161</v>
      </c>
    </row>
    <row r="39" spans="6:28" ht="14.5" thickBot="1" x14ac:dyDescent="0.35">
      <c r="G39" s="2"/>
      <c r="N39" s="89" t="s">
        <v>163</v>
      </c>
      <c r="O39" s="84"/>
      <c r="P39" s="85"/>
      <c r="Q39" s="84">
        <f ca="1">V35</f>
        <v>1279.564605352331</v>
      </c>
      <c r="R39" s="86" t="s">
        <v>164</v>
      </c>
    </row>
    <row r="40" spans="6:28" x14ac:dyDescent="0.3">
      <c r="G40" s="2"/>
      <c r="N40" s="9"/>
      <c r="O40" s="9"/>
    </row>
    <row r="41" spans="6:28" x14ac:dyDescent="0.3">
      <c r="G41" s="2"/>
      <c r="N41" s="9"/>
      <c r="O41" s="9"/>
    </row>
    <row r="42" spans="6:28" x14ac:dyDescent="0.3">
      <c r="G42" s="2"/>
      <c r="N42" s="9"/>
      <c r="O42" s="9"/>
    </row>
    <row r="43" spans="6:28" x14ac:dyDescent="0.3">
      <c r="G43" s="2"/>
      <c r="N43" s="9"/>
      <c r="O43" s="9"/>
    </row>
    <row r="44" spans="6:28" x14ac:dyDescent="0.3">
      <c r="G44" s="2"/>
      <c r="N44" s="9"/>
      <c r="O44" s="9"/>
    </row>
    <row r="45" spans="6:28" x14ac:dyDescent="0.3">
      <c r="N45" s="9"/>
      <c r="O45" s="9"/>
    </row>
    <row r="46" spans="6:28" x14ac:dyDescent="0.3">
      <c r="N46" s="9"/>
      <c r="O46" s="9"/>
    </row>
    <row r="47" spans="6:28" x14ac:dyDescent="0.3">
      <c r="N47" s="9"/>
      <c r="O47" s="9"/>
    </row>
    <row r="48" spans="6:28" x14ac:dyDescent="0.3">
      <c r="N48" s="9"/>
      <c r="O48" s="9"/>
    </row>
    <row r="49" spans="5:15" x14ac:dyDescent="0.3">
      <c r="E49"/>
      <c r="N49" s="9"/>
      <c r="O49" s="9"/>
    </row>
    <row r="50" spans="5:15" x14ac:dyDescent="0.3">
      <c r="E50"/>
      <c r="N50" s="9"/>
      <c r="O50" s="9"/>
    </row>
    <row r="51" spans="5:15" x14ac:dyDescent="0.3">
      <c r="E51"/>
      <c r="N51" s="9"/>
      <c r="O51" s="9"/>
    </row>
    <row r="52" spans="5:15" x14ac:dyDescent="0.3">
      <c r="E52"/>
      <c r="N52" s="9"/>
      <c r="O52" s="9"/>
    </row>
    <row r="53" spans="5:15" x14ac:dyDescent="0.3">
      <c r="E53"/>
      <c r="N53" s="9"/>
      <c r="O53" s="9"/>
    </row>
    <row r="54" spans="5:15" x14ac:dyDescent="0.3">
      <c r="E54"/>
      <c r="N54" s="9"/>
      <c r="O54" s="9"/>
    </row>
    <row r="55" spans="5:15" x14ac:dyDescent="0.3">
      <c r="E55"/>
      <c r="N55" s="9"/>
      <c r="O55" s="9"/>
    </row>
    <row r="56" spans="5:15" x14ac:dyDescent="0.3">
      <c r="E56"/>
      <c r="N56" s="9"/>
      <c r="O56" s="9"/>
    </row>
    <row r="57" spans="5:15" x14ac:dyDescent="0.3">
      <c r="E57"/>
      <c r="N57" s="9"/>
      <c r="O57" s="9"/>
    </row>
    <row r="58" spans="5:15" x14ac:dyDescent="0.3">
      <c r="E58"/>
      <c r="N58" s="9"/>
      <c r="O58" s="9"/>
    </row>
    <row r="59" spans="5:15" x14ac:dyDescent="0.3">
      <c r="N59" s="9"/>
      <c r="O59" s="9"/>
    </row>
    <row r="60" spans="5:15" x14ac:dyDescent="0.3">
      <c r="N60" s="9"/>
      <c r="O60" s="9"/>
    </row>
    <row r="61" spans="5:15" x14ac:dyDescent="0.3">
      <c r="N61" s="9"/>
      <c r="O61" s="9"/>
    </row>
    <row r="62" spans="5:15" x14ac:dyDescent="0.3">
      <c r="N62" s="9"/>
      <c r="O62" s="9"/>
    </row>
    <row r="63" spans="5:15" x14ac:dyDescent="0.3">
      <c r="N63" s="9"/>
      <c r="O63" s="9"/>
    </row>
    <row r="64" spans="5:15" x14ac:dyDescent="0.3">
      <c r="N64" s="9"/>
      <c r="O64" s="9"/>
    </row>
    <row r="65" spans="14:15" x14ac:dyDescent="0.3">
      <c r="N65" s="9"/>
      <c r="O65" s="9"/>
    </row>
    <row r="66" spans="14:15" x14ac:dyDescent="0.3">
      <c r="N66" s="9"/>
      <c r="O66" s="9"/>
    </row>
    <row r="67" spans="14:15" x14ac:dyDescent="0.3">
      <c r="N67" s="9"/>
      <c r="O67" s="9"/>
    </row>
  </sheetData>
  <sortState xmlns:xlrd2="http://schemas.microsoft.com/office/spreadsheetml/2017/richdata2" ref="E36:E56">
    <sortCondition ref="E36:E56"/>
  </sortState>
  <mergeCells count="8">
    <mergeCell ref="D4:E4"/>
    <mergeCell ref="H7:I7"/>
    <mergeCell ref="J7:K7"/>
    <mergeCell ref="L7:M7"/>
    <mergeCell ref="AD4:AE4"/>
    <mergeCell ref="F6:G6"/>
    <mergeCell ref="O4:P4"/>
    <mergeCell ref="H6:J6"/>
  </mergeCells>
  <pageMargins left="0.7" right="0.7" top="0.78740157499999996" bottom="0.78740157499999996" header="0.3" footer="0.3"/>
  <pageSetup paperSize="9" orientation="landscape" r:id="rId1"/>
  <headerFooter>
    <oddHeader>&amp;LMaster Thesis 2023/2024&amp;CSt. Lawrence Parish House,
Petrinja, Croatia&amp;R&amp;G</oddHeader>
    <oddFooter>&amp;L&amp;A&amp;CModel: Initial and Retrofitted State&amp;R&amp;P</oddFooter>
  </headerFooter>
  <colBreaks count="1" manualBreakCount="1">
    <brk id="13" max="1048575" man="1"/>
  </col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B2F2-EEF0-48C7-A599-D0F95B094935}">
  <sheetPr codeName="Tabelle14">
    <tabColor theme="4"/>
  </sheetPr>
  <dimension ref="A1:AP69"/>
  <sheetViews>
    <sheetView view="pageLayout" zoomScale="70" zoomScaleNormal="70" zoomScalePageLayoutView="70" workbookViewId="0">
      <selection activeCell="B3" sqref="B3"/>
    </sheetView>
  </sheetViews>
  <sheetFormatPr baseColWidth="10" defaultColWidth="8.6640625" defaultRowHeight="14" x14ac:dyDescent="0.3"/>
  <cols>
    <col min="1" max="1" width="9.75" style="9" bestFit="1" customWidth="1"/>
    <col min="2" max="2" width="6.08203125" style="9" bestFit="1" customWidth="1"/>
    <col min="3" max="3" width="6.58203125" style="9" bestFit="1" customWidth="1"/>
    <col min="4" max="4" width="8.6640625" style="9" bestFit="1" customWidth="1"/>
    <col min="5" max="5" width="9.75" style="9" customWidth="1"/>
    <col min="6" max="6" width="9.75" customWidth="1"/>
    <col min="7" max="7" width="10.5" customWidth="1"/>
    <col min="8" max="8" width="10.33203125" customWidth="1"/>
    <col min="9" max="9" width="7.4140625" customWidth="1"/>
    <col min="10" max="10" width="8.25" bestFit="1" customWidth="1"/>
    <col min="11" max="11" width="8.58203125" customWidth="1"/>
    <col min="12" max="12" width="7.83203125" bestFit="1" customWidth="1"/>
    <col min="13" max="13" width="8.08203125" customWidth="1"/>
    <col min="14" max="14" width="10.5" bestFit="1" customWidth="1"/>
    <col min="15" max="15" width="7.25" bestFit="1" customWidth="1"/>
    <col min="16" max="16" width="8.08203125" bestFit="1" customWidth="1"/>
    <col min="17" max="26" width="7.83203125" bestFit="1" customWidth="1"/>
    <col min="27" max="28" width="7.33203125" customWidth="1"/>
  </cols>
  <sheetData>
    <row r="1" spans="1:42" ht="18" x14ac:dyDescent="0.4">
      <c r="A1" s="41" t="s">
        <v>146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 t="s">
        <v>158</v>
      </c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</row>
    <row r="2" spans="1:42" s="4" customFormat="1" x14ac:dyDescent="0.3"/>
    <row r="3" spans="1:42" s="4" customFormat="1" x14ac:dyDescent="0.3">
      <c r="A3" s="91" t="s">
        <v>166</v>
      </c>
      <c r="B3" s="4" t="s">
        <v>167</v>
      </c>
      <c r="N3" s="4" t="s">
        <v>0</v>
      </c>
      <c r="O3" s="4" t="s">
        <v>1</v>
      </c>
    </row>
    <row r="4" spans="1:42" s="4" customFormat="1" x14ac:dyDescent="0.3">
      <c r="A4" s="91" t="s">
        <v>2</v>
      </c>
      <c r="B4" s="93">
        <f ca="1">TODAY()</f>
        <v>45308</v>
      </c>
      <c r="C4" s="93"/>
      <c r="F4" s="5"/>
      <c r="G4" s="5"/>
      <c r="N4" s="4" t="s">
        <v>2</v>
      </c>
      <c r="O4" s="93">
        <f ca="1">TODAY()</f>
        <v>45308</v>
      </c>
      <c r="P4" s="93"/>
      <c r="AA4" s="5"/>
      <c r="AB4" s="5"/>
      <c r="AE4" s="93"/>
      <c r="AF4" s="93"/>
    </row>
    <row r="5" spans="1:42" s="4" customFormat="1" x14ac:dyDescent="0.3">
      <c r="A5" s="91" t="s">
        <v>3</v>
      </c>
      <c r="B5" s="4" t="s">
        <v>129</v>
      </c>
      <c r="N5" s="4" t="s">
        <v>3</v>
      </c>
      <c r="O5" s="4" t="s">
        <v>129</v>
      </c>
    </row>
    <row r="6" spans="1:42" s="4" customFormat="1" x14ac:dyDescent="0.3">
      <c r="F6" s="95" t="s">
        <v>135</v>
      </c>
      <c r="G6" s="95"/>
      <c r="H6" s="95" t="s">
        <v>113</v>
      </c>
      <c r="I6" s="95"/>
      <c r="J6" s="95"/>
      <c r="K6" s="27"/>
    </row>
    <row r="7" spans="1:42" ht="28.5" thickBot="1" x14ac:dyDescent="0.35">
      <c r="A7" s="63" t="s">
        <v>147</v>
      </c>
      <c r="B7" s="63" t="s">
        <v>148</v>
      </c>
      <c r="C7" s="63" t="s">
        <v>149</v>
      </c>
      <c r="D7" s="63" t="s">
        <v>110</v>
      </c>
      <c r="E7" s="63" t="s">
        <v>111</v>
      </c>
      <c r="F7" s="63" t="s">
        <v>64</v>
      </c>
      <c r="G7" s="63" t="s">
        <v>112</v>
      </c>
      <c r="H7" s="96" t="s">
        <v>151</v>
      </c>
      <c r="I7" s="96"/>
      <c r="J7" s="96" t="s">
        <v>152</v>
      </c>
      <c r="K7" s="96"/>
      <c r="L7" s="96" t="s">
        <v>157</v>
      </c>
      <c r="M7" s="96"/>
      <c r="N7" s="63" t="s">
        <v>147</v>
      </c>
      <c r="O7" s="72" t="s">
        <v>136</v>
      </c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</row>
    <row r="8" spans="1:42" ht="17" x14ac:dyDescent="0.45">
      <c r="A8"/>
      <c r="B8"/>
      <c r="C8"/>
      <c r="D8" s="46" t="s">
        <v>108</v>
      </c>
      <c r="E8" s="44" t="s">
        <v>109</v>
      </c>
      <c r="F8" s="47" t="s">
        <v>119</v>
      </c>
      <c r="G8" s="47" t="s">
        <v>134</v>
      </c>
      <c r="H8" t="s">
        <v>150</v>
      </c>
      <c r="I8" t="s">
        <v>150</v>
      </c>
      <c r="J8" t="s">
        <v>153</v>
      </c>
      <c r="K8" t="s">
        <v>153</v>
      </c>
      <c r="L8" s="38" t="s">
        <v>107</v>
      </c>
      <c r="M8" s="38" t="s">
        <v>107</v>
      </c>
      <c r="O8" s="79">
        <v>0</v>
      </c>
      <c r="P8" s="90">
        <v>1.3</v>
      </c>
      <c r="Q8" s="90">
        <v>1.4</v>
      </c>
      <c r="R8" s="90">
        <v>1.7</v>
      </c>
      <c r="S8" s="90">
        <v>1.8</v>
      </c>
      <c r="T8" s="90">
        <v>1.9</v>
      </c>
      <c r="U8" s="90">
        <v>2</v>
      </c>
      <c r="V8" s="90">
        <v>2.4</v>
      </c>
      <c r="W8" s="90">
        <v>3.5</v>
      </c>
      <c r="X8" s="90">
        <v>4.7</v>
      </c>
      <c r="Y8" s="90">
        <v>8.4</v>
      </c>
      <c r="Z8" s="90">
        <v>26.1</v>
      </c>
      <c r="AA8" s="90">
        <v>26.2</v>
      </c>
      <c r="AB8" s="90">
        <v>39.699999999999996</v>
      </c>
    </row>
    <row r="9" spans="1:42" ht="16.5" thickBot="1" x14ac:dyDescent="0.35">
      <c r="A9" s="37" t="s">
        <v>37</v>
      </c>
      <c r="B9" s="46"/>
      <c r="C9" s="46"/>
      <c r="D9" s="46" t="s">
        <v>120</v>
      </c>
      <c r="E9" s="46" t="s">
        <v>121</v>
      </c>
      <c r="F9" s="46" t="s">
        <v>101</v>
      </c>
      <c r="G9" s="46" t="s">
        <v>101</v>
      </c>
      <c r="H9" s="46" t="s">
        <v>84</v>
      </c>
      <c r="I9" s="46" t="s">
        <v>118</v>
      </c>
      <c r="J9" s="46" t="s">
        <v>84</v>
      </c>
      <c r="K9" s="46" t="s">
        <v>118</v>
      </c>
      <c r="L9" s="46" t="s">
        <v>89</v>
      </c>
      <c r="M9" s="46" t="s">
        <v>117</v>
      </c>
      <c r="N9" s="37" t="s">
        <v>37</v>
      </c>
      <c r="O9" s="72" t="s">
        <v>159</v>
      </c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</row>
    <row r="10" spans="1:42" x14ac:dyDescent="0.3">
      <c r="A10" s="65">
        <v>7</v>
      </c>
      <c r="B10" s="65">
        <v>34</v>
      </c>
      <c r="C10" s="65">
        <v>28</v>
      </c>
      <c r="D10" s="54">
        <f>IF(C10="","",_xlfn.XLOOKUP(B10,'Pier geometry_2'!A:A,'Pier geometry_2'!I:I)*_xlfn.XLOOKUP(B10,'Pier geometry_2'!A:A,'Pier geometry_2'!H:H)^3/12)</f>
        <v>0.69138719999999987</v>
      </c>
      <c r="E10" s="54">
        <f>IF(C10="","",_xlfn.XLOOKUP(B10,'Pier geometry_2'!A:A,'Pier geometry_2'!I:I)*_xlfn.XLOOKUP(B10,'Pier geometry_2'!A:A,'Pier geometry_2'!H:H))</f>
        <v>1.5959999999999999</v>
      </c>
      <c r="F10" s="67">
        <f ca="1">IF(E10="","",Max_shearforce_2!P10*((Max_shearforce_2!D10*(3*Max_shearforce_2!D10-Max_shearforce_2!D10))/(6*'Pushover Curve_2'!D10*'Material properties'!$H$11)+(6/5)/('Material properties'!$H$12*'Pushover Curve_2'!E10)))</f>
        <v>2.8430554937517436E-4</v>
      </c>
      <c r="G10" s="68">
        <f ca="1">IF(F10="","",IF(Max_shearforce_2!Q10="Flexure",0.0065,0.0043))</f>
        <v>6.4999999999999997E-3</v>
      </c>
      <c r="H10" s="69">
        <f ca="1">IF(G10="","",ROUND(F10*6.1,4))</f>
        <v>1.6999999999999999E-3</v>
      </c>
      <c r="I10" s="71">
        <f ca="1">IF(H10="","",H10*1000)</f>
        <v>1.7</v>
      </c>
      <c r="J10" s="69">
        <f ca="1">IF(H10="","",ROUND(G10*6.1,4))</f>
        <v>3.9699999999999999E-2</v>
      </c>
      <c r="K10" s="71">
        <f ca="1">IF(J10="","",J10*1000)</f>
        <v>39.699999999999996</v>
      </c>
      <c r="L10" s="53">
        <f ca="1">IF(J10="","",Max_shearforce_2!P10)</f>
        <v>38664.984043941535</v>
      </c>
      <c r="M10" s="71">
        <f ca="1">IF(L10="","",L10/1000)</f>
        <v>38.664984043941537</v>
      </c>
      <c r="N10" s="65">
        <v>7</v>
      </c>
      <c r="O10" s="78">
        <f t="shared" ref="O10" ca="1" si="0">IF(M10="","",0)</f>
        <v>0</v>
      </c>
      <c r="P10" s="78">
        <f ca="1">IF(M10="","",IF($P$8&lt;=I10,$P$8/I10*M10,IF($P$8&gt;=K10,0,M10)))</f>
        <v>29.567340739484706</v>
      </c>
      <c r="Q10" s="78">
        <f ca="1">IF(M10="","",IF($Q$8&lt;=I10,$Q$8/I10*M10,IF($Q$8&gt;=K10,0,M10)))</f>
        <v>31.841751565598912</v>
      </c>
      <c r="R10" s="78">
        <f ca="1">IF(M10="","",IF($R$8&lt;=I10,$R$8/I10*M10,IF($R$8&gt;=K10,0,M10)))</f>
        <v>38.664984043941537</v>
      </c>
      <c r="S10" s="78">
        <f ca="1">IF(M10="","",IF($S$8&lt;=I10,$S$8/I10*M10,IF($S$8&gt;=K10,0,M10)))</f>
        <v>38.664984043941537</v>
      </c>
      <c r="T10" s="78">
        <f ca="1">IF(M10="","",IF($T$8&lt;=I10,$T$8/I10*M10,IF($T$8&gt;=K10,0,M10)))</f>
        <v>38.664984043941537</v>
      </c>
      <c r="U10" s="78">
        <f ca="1">IF(M10="","",IF($U$8&lt;=I10,$U$8/I10*M10,IF($U$8&gt;=K10,0,M10)))</f>
        <v>38.664984043941537</v>
      </c>
      <c r="V10" s="78">
        <f ca="1">IF(M10="","",IF($V$8&lt;=I10,$V$8/I10*M10,IF($V$8&gt;=K10,0,M10)))</f>
        <v>38.664984043941537</v>
      </c>
      <c r="W10" s="78">
        <f ca="1">IF(M10="","",IF($W$8&lt;=I10,$W$8/I10*M10,IF($W$8&gt;=K10,0,M10)))</f>
        <v>38.664984043941537</v>
      </c>
      <c r="X10" s="78">
        <f ca="1">IF(M10="","",IF($X$8&lt;=I10,$X$8/I10*M10,IF($X$8&gt;=K10,0,M10)))</f>
        <v>38.664984043941537</v>
      </c>
      <c r="Y10" s="78">
        <f ca="1">IF(M10="","",IF($Y$8&lt;=I10,$Y$8/I10*M10,IF($Y$8&gt;=K10,0,M10)))</f>
        <v>38.664984043941537</v>
      </c>
      <c r="Z10" s="78">
        <f ca="1">IF(M10="","",IF($Z$8&lt;=I10,$Z$8/I10*M10,IF($Z$8&gt;=K10,0,M10)))</f>
        <v>38.664984043941537</v>
      </c>
      <c r="AA10" s="78">
        <f ca="1">IF(M10="","",IF($AA$8&lt;=I10,$AA$8/I10*M10,IF($AA$8&gt;=K10,0,M10)))</f>
        <v>38.664984043941537</v>
      </c>
      <c r="AB10" s="78">
        <f ca="1">IF(M10="","",IF($AB$8&lt;=I10,$AB$8/I10*M10,IF($AB$8&gt;=K10,0,M10)))</f>
        <v>0</v>
      </c>
    </row>
    <row r="11" spans="1:42" x14ac:dyDescent="0.3">
      <c r="A11" s="65">
        <v>8</v>
      </c>
      <c r="B11" s="65">
        <v>35</v>
      </c>
      <c r="C11" s="65">
        <v>29</v>
      </c>
      <c r="D11" s="54">
        <f>IF(C11="","",_xlfn.XLOOKUP(B11,'Pier geometry_2'!A:A,'Pier geometry_2'!I:I)*_xlfn.XLOOKUP(B11,'Pier geometry_2'!A:A,'Pier geometry_2'!H:H)^3/12)</f>
        <v>4.6379083333333329</v>
      </c>
      <c r="E11" s="54">
        <f>IF(C11="","",_xlfn.XLOOKUP(B11,'Pier geometry_2'!A:A,'Pier geometry_2'!I:I)*_xlfn.XLOOKUP(B11,'Pier geometry_2'!A:A,'Pier geometry_2'!H:H))</f>
        <v>3.01</v>
      </c>
      <c r="F11" s="67">
        <f ca="1">IF(E11="","",Max_shearforce_2!P11*((Max_shearforce_2!D11*(3*Max_shearforce_2!D11-Max_shearforce_2!D11))/(6*'Pushover Curve_2'!D11*'Material properties'!$H$11)+(6/5)/('Material properties'!$H$12*'Pushover Curve_2'!E11)))</f>
        <v>2.8100034663574653E-4</v>
      </c>
      <c r="G11" s="68">
        <f ca="1">IF(F11="","",IF(Max_shearforce_2!Q11="Flexure",0.0065,0.0043))</f>
        <v>6.4999999999999997E-3</v>
      </c>
      <c r="H11" s="69">
        <f t="shared" ref="H11:H32" ca="1" si="1">IF(G11="","",ROUND(F11*6.1,4))</f>
        <v>1.6999999999999999E-3</v>
      </c>
      <c r="I11" s="71">
        <f t="shared" ref="I11:I34" ca="1" si="2">IF(H11="","",H11*1000)</f>
        <v>1.7</v>
      </c>
      <c r="J11" s="69">
        <f t="shared" ref="J11:J32" ca="1" si="3">IF(H11="","",ROUND(G11*6.1,4))</f>
        <v>3.9699999999999999E-2</v>
      </c>
      <c r="K11" s="71">
        <f t="shared" ref="K11:K34" ca="1" si="4">IF(J11="","",J11*1000)</f>
        <v>39.699999999999996</v>
      </c>
      <c r="L11" s="53">
        <f ca="1">IF(J11="","",Max_shearforce_2!P11)</f>
        <v>125307.51510601424</v>
      </c>
      <c r="M11" s="71">
        <f t="shared" ref="M11:M34" ca="1" si="5">IF(L11="","",L11/1000)</f>
        <v>125.30751510601424</v>
      </c>
      <c r="N11" s="65">
        <v>8</v>
      </c>
      <c r="O11" s="78">
        <f t="shared" ref="O11:O34" ca="1" si="6">IF(M11="","",0)</f>
        <v>0</v>
      </c>
      <c r="P11" s="78">
        <f t="shared" ref="P11:P34" ca="1" si="7">IF(M11="","",IF($P$8&lt;=I11,$P$8/I11*M11,IF($P$8&gt;=K11,0,M11)))</f>
        <v>95.823393904599129</v>
      </c>
      <c r="Q11" s="78">
        <f t="shared" ref="Q11:Q34" ca="1" si="8">IF(M11="","",IF($Q$8&lt;=I11,$Q$8/I11*M11,IF($Q$8&gt;=K11,0,M11)))</f>
        <v>103.1944242049529</v>
      </c>
      <c r="R11" s="78">
        <f t="shared" ref="R11:R34" ca="1" si="9">IF(M11="","",IF($R$8&lt;=I11,$R$8/I11*M11,IF($R$8&gt;=K11,0,M11)))</f>
        <v>125.30751510601424</v>
      </c>
      <c r="S11" s="78">
        <f t="shared" ref="S11:S34" ca="1" si="10">IF(M11="","",IF($S$8&lt;=I11,$S$8/I11*M11,IF($S$8&gt;=K11,0,M11)))</f>
        <v>125.30751510601424</v>
      </c>
      <c r="T11" s="78">
        <f t="shared" ref="T11:T34" ca="1" si="11">IF(M11="","",IF($T$8&lt;=I11,$T$8/I11*M11,IF($T$8&gt;=K11,0,M11)))</f>
        <v>125.30751510601424</v>
      </c>
      <c r="U11" s="78">
        <f t="shared" ref="U11:U34" ca="1" si="12">IF(M11="","",IF($U$8&lt;=I11,$U$8/I11*M11,IF($U$8&gt;=K11,0,M11)))</f>
        <v>125.30751510601424</v>
      </c>
      <c r="V11" s="78">
        <f t="shared" ref="V11:V34" ca="1" si="13">IF(M11="","",IF($V$8&lt;=I11,$V$8/I11*M11,IF($V$8&gt;=K11,0,M11)))</f>
        <v>125.30751510601424</v>
      </c>
      <c r="W11" s="78">
        <f t="shared" ref="W11:W34" ca="1" si="14">IF(M11="","",IF($W$8&lt;=I11,$W$8/I11*M11,IF($W$8&gt;=K11,0,M11)))</f>
        <v>125.30751510601424</v>
      </c>
      <c r="X11" s="78">
        <f t="shared" ref="X11:X34" ca="1" si="15">IF(M11="","",IF($X$8&lt;=I11,$X$8/I11*M11,IF($X$8&gt;=K11,0,M11)))</f>
        <v>125.30751510601424</v>
      </c>
      <c r="Y11" s="78">
        <f t="shared" ref="Y11:Y34" ca="1" si="16">IF(M11="","",IF($Y$8&lt;=I11,$Y$8/I11*M11,IF($Y$8&gt;=K11,0,M11)))</f>
        <v>125.30751510601424</v>
      </c>
      <c r="Z11" s="78">
        <f t="shared" ref="Z11:Z34" ca="1" si="17">IF(M11="","",IF($Z$8&lt;=I11,$Z$8/I11*M11,IF($Z$8&gt;=K11,0,M11)))</f>
        <v>125.30751510601424</v>
      </c>
      <c r="AA11" s="78">
        <f t="shared" ref="AA11:AA34" ca="1" si="18">IF(M11="","",IF($AA$8&lt;=I11,$AA$8/I11*M11,IF($AA$8&gt;=K11,0,M11)))</f>
        <v>125.30751510601424</v>
      </c>
      <c r="AB11" s="78">
        <f t="shared" ref="AB11:AB34" ca="1" si="19">IF(M11="","",IF($AB$8&lt;=I11,$AB$8/I11*M11,IF($AB$8&gt;=K11,0,M11)))</f>
        <v>0</v>
      </c>
    </row>
    <row r="12" spans="1:42" x14ac:dyDescent="0.3">
      <c r="A12" s="65">
        <v>9</v>
      </c>
      <c r="B12" s="65">
        <v>36</v>
      </c>
      <c r="C12" s="65">
        <v>30</v>
      </c>
      <c r="D12" s="54">
        <f>IF(C12="","",_xlfn.XLOOKUP(B12,'Pier geometry_2'!A:A,'Pier geometry_2'!I:I)*_xlfn.XLOOKUP(B12,'Pier geometry_2'!A:A,'Pier geometry_2'!H:H)^3/12)</f>
        <v>0.69138719999999987</v>
      </c>
      <c r="E12" s="54">
        <f>IF(C12="","",_xlfn.XLOOKUP(B12,'Pier geometry_2'!A:A,'Pier geometry_2'!I:I)*_xlfn.XLOOKUP(B12,'Pier geometry_2'!A:A,'Pier geometry_2'!H:H))</f>
        <v>1.5959999999999999</v>
      </c>
      <c r="F12" s="67">
        <f ca="1">IF(E12="","",Max_shearforce_2!P12*((Max_shearforce_2!D12*(3*Max_shearforce_2!D12-Max_shearforce_2!D12))/(6*'Pushover Curve_2'!D12*'Material properties'!$H$11)+(6/5)/('Material properties'!$H$12*'Pushover Curve_2'!E12)))</f>
        <v>2.1605296586497727E-4</v>
      </c>
      <c r="G12" s="68">
        <f ca="1">IF(F12="","",IF(Max_shearforce_2!Q12="Flexure",0.0065,0.0043))</f>
        <v>6.4999999999999997E-3</v>
      </c>
      <c r="H12" s="69">
        <f t="shared" ca="1" si="1"/>
        <v>1.2999999999999999E-3</v>
      </c>
      <c r="I12" s="71">
        <f t="shared" ca="1" si="2"/>
        <v>1.3</v>
      </c>
      <c r="J12" s="69">
        <f t="shared" ca="1" si="3"/>
        <v>3.9699999999999999E-2</v>
      </c>
      <c r="K12" s="71">
        <f t="shared" ca="1" si="4"/>
        <v>39.699999999999996</v>
      </c>
      <c r="L12" s="53">
        <f ca="1">IF(J12="","",Max_shearforce_2!P12)</f>
        <v>37554.069847903964</v>
      </c>
      <c r="M12" s="71">
        <f t="shared" ca="1" si="5"/>
        <v>37.554069847903961</v>
      </c>
      <c r="N12" s="65">
        <v>9</v>
      </c>
      <c r="O12" s="78">
        <f t="shared" ca="1" si="6"/>
        <v>0</v>
      </c>
      <c r="P12" s="78">
        <f t="shared" ca="1" si="7"/>
        <v>37.554069847903961</v>
      </c>
      <c r="Q12" s="78">
        <f t="shared" ca="1" si="8"/>
        <v>37.554069847903961</v>
      </c>
      <c r="R12" s="78">
        <f t="shared" ca="1" si="9"/>
        <v>37.554069847903961</v>
      </c>
      <c r="S12" s="78">
        <f t="shared" ca="1" si="10"/>
        <v>37.554069847903961</v>
      </c>
      <c r="T12" s="78">
        <f t="shared" ca="1" si="11"/>
        <v>37.554069847903961</v>
      </c>
      <c r="U12" s="78">
        <f t="shared" ca="1" si="12"/>
        <v>37.554069847903961</v>
      </c>
      <c r="V12" s="78">
        <f t="shared" ca="1" si="13"/>
        <v>37.554069847903961</v>
      </c>
      <c r="W12" s="78">
        <f t="shared" ca="1" si="14"/>
        <v>37.554069847903961</v>
      </c>
      <c r="X12" s="78">
        <f t="shared" ca="1" si="15"/>
        <v>37.554069847903961</v>
      </c>
      <c r="Y12" s="78">
        <f t="shared" ca="1" si="16"/>
        <v>37.554069847903961</v>
      </c>
      <c r="Z12" s="78">
        <f t="shared" ca="1" si="17"/>
        <v>37.554069847903961</v>
      </c>
      <c r="AA12" s="78">
        <f t="shared" ca="1" si="18"/>
        <v>37.554069847903961</v>
      </c>
      <c r="AB12" s="78">
        <f t="shared" ca="1" si="19"/>
        <v>0</v>
      </c>
    </row>
    <row r="13" spans="1:42" x14ac:dyDescent="0.3">
      <c r="A13"/>
      <c r="B13"/>
      <c r="C13"/>
      <c r="D13" t="str">
        <f>IF(C13="","",_xlfn.XLOOKUP(B13,'Pier geometry_2'!A:A,'Pier geometry_2'!I:I)*_xlfn.XLOOKUP(B13,'Pier geometry_2'!A:A,'Pier geometry_2'!H:H)^3/12)</f>
        <v/>
      </c>
      <c r="E13" t="str">
        <f>IF(C13="","",_xlfn.XLOOKUP(B13,'Pier geometry_2'!A:A,'Pier geometry_2'!I:I)*_xlfn.XLOOKUP(B13,'Pier geometry_2'!A:A,'Pier geometry_2'!H:H))</f>
        <v/>
      </c>
      <c r="F13" t="str">
        <f>IF(E13="","",Max_shearforce_2!P13*((Max_shearforce_2!D13*(3*Max_shearforce_2!D13-Max_shearforce_2!D13))/(6*'Pushover Curve_2'!D13*'Material properties'!$H$11)+(6/5)/('Material properties'!$H$12*'Pushover Curve_2'!E13)))</f>
        <v/>
      </c>
      <c r="G13" t="str">
        <f>IF(F13="","",IF(Max_shearforce_2!Q13="Flexure",0.0065,0.0043))</f>
        <v/>
      </c>
      <c r="H13" t="str">
        <f t="shared" si="1"/>
        <v/>
      </c>
      <c r="I13" t="str">
        <f t="shared" si="2"/>
        <v/>
      </c>
      <c r="J13" t="str">
        <f t="shared" si="3"/>
        <v/>
      </c>
      <c r="K13" t="str">
        <f t="shared" si="4"/>
        <v/>
      </c>
      <c r="L13" t="str">
        <f>IF(J13="","",Max_shearforce_2!P13)</f>
        <v/>
      </c>
      <c r="M13" t="str">
        <f t="shared" si="5"/>
        <v/>
      </c>
      <c r="O13" s="78" t="str">
        <f t="shared" si="6"/>
        <v/>
      </c>
      <c r="P13" s="78" t="str">
        <f t="shared" si="7"/>
        <v/>
      </c>
      <c r="Q13" s="78" t="str">
        <f t="shared" si="8"/>
        <v/>
      </c>
      <c r="R13" s="78" t="str">
        <f t="shared" si="9"/>
        <v/>
      </c>
      <c r="S13" s="78" t="str">
        <f t="shared" si="10"/>
        <v/>
      </c>
      <c r="T13" s="78" t="str">
        <f t="shared" si="11"/>
        <v/>
      </c>
      <c r="U13" s="78" t="str">
        <f t="shared" si="12"/>
        <v/>
      </c>
      <c r="V13" s="78" t="str">
        <f t="shared" si="13"/>
        <v/>
      </c>
      <c r="W13" s="78" t="str">
        <f t="shared" si="14"/>
        <v/>
      </c>
      <c r="X13" s="78" t="str">
        <f t="shared" si="15"/>
        <v/>
      </c>
      <c r="Y13" s="78" t="str">
        <f t="shared" si="16"/>
        <v/>
      </c>
      <c r="Z13" s="78" t="str">
        <f t="shared" si="17"/>
        <v/>
      </c>
      <c r="AA13" s="78" t="str">
        <f t="shared" si="18"/>
        <v/>
      </c>
      <c r="AB13" s="78" t="str">
        <f t="shared" si="19"/>
        <v/>
      </c>
    </row>
    <row r="14" spans="1:42" x14ac:dyDescent="0.3">
      <c r="A14" s="37" t="s">
        <v>39</v>
      </c>
      <c r="B14"/>
      <c r="C14"/>
      <c r="D14" t="str">
        <f>IF(C14="","",_xlfn.XLOOKUP(B14,'Pier geometry_2'!A:A,'Pier geometry_2'!I:I)*_xlfn.XLOOKUP(B14,'Pier geometry_2'!A:A,'Pier geometry_2'!H:H)^3/12)</f>
        <v/>
      </c>
      <c r="E14" t="str">
        <f>IF(C14="","",_xlfn.XLOOKUP(B14,'Pier geometry_2'!A:A,'Pier geometry_2'!I:I)*_xlfn.XLOOKUP(B14,'Pier geometry_2'!A:A,'Pier geometry_2'!H:H))</f>
        <v/>
      </c>
      <c r="F14" t="str">
        <f>IF(E14="","",Max_shearforce_2!P14*((Max_shearforce_2!D14*(3*Max_shearforce_2!D14-Max_shearforce_2!D14))/(6*'Pushover Curve_2'!D14*'Material properties'!$H$11)+(6/5)/('Material properties'!$H$12*'Pushover Curve_2'!E14)))</f>
        <v/>
      </c>
      <c r="G14" t="str">
        <f>IF(F14="","",IF(Max_shearforce_2!Q14="Flexure",0.0065,0.0043))</f>
        <v/>
      </c>
      <c r="H14" t="str">
        <f t="shared" si="1"/>
        <v/>
      </c>
      <c r="I14" t="str">
        <f t="shared" si="2"/>
        <v/>
      </c>
      <c r="J14" t="str">
        <f t="shared" si="3"/>
        <v/>
      </c>
      <c r="K14" t="str">
        <f t="shared" si="4"/>
        <v/>
      </c>
      <c r="L14" t="str">
        <f>IF(J14="","",Max_shearforce_2!P14)</f>
        <v/>
      </c>
      <c r="M14" t="str">
        <f t="shared" si="5"/>
        <v/>
      </c>
      <c r="N14" s="37" t="s">
        <v>39</v>
      </c>
      <c r="O14" s="78" t="str">
        <f t="shared" si="6"/>
        <v/>
      </c>
      <c r="P14" s="78" t="str">
        <f t="shared" si="7"/>
        <v/>
      </c>
      <c r="Q14" s="78" t="str">
        <f t="shared" si="8"/>
        <v/>
      </c>
      <c r="R14" s="78" t="str">
        <f t="shared" si="9"/>
        <v/>
      </c>
      <c r="S14" s="78" t="str">
        <f t="shared" si="10"/>
        <v/>
      </c>
      <c r="T14" s="78" t="str">
        <f t="shared" si="11"/>
        <v/>
      </c>
      <c r="U14" s="78" t="str">
        <f t="shared" si="12"/>
        <v/>
      </c>
      <c r="V14" s="78" t="str">
        <f t="shared" si="13"/>
        <v/>
      </c>
      <c r="W14" s="78" t="str">
        <f t="shared" si="14"/>
        <v/>
      </c>
      <c r="X14" s="78" t="str">
        <f t="shared" si="15"/>
        <v/>
      </c>
      <c r="Y14" s="78" t="str">
        <f t="shared" si="16"/>
        <v/>
      </c>
      <c r="Z14" s="78" t="str">
        <f t="shared" si="17"/>
        <v/>
      </c>
      <c r="AA14" s="78" t="str">
        <f t="shared" si="18"/>
        <v/>
      </c>
      <c r="AB14" s="78" t="str">
        <f t="shared" si="19"/>
        <v/>
      </c>
    </row>
    <row r="15" spans="1:42" x14ac:dyDescent="0.3">
      <c r="A15" s="65">
        <v>15</v>
      </c>
      <c r="B15" s="65">
        <v>67</v>
      </c>
      <c r="C15" s="65">
        <v>62</v>
      </c>
      <c r="D15" s="54">
        <f>IF(C15="","",_xlfn.XLOOKUP(B15,'Pier geometry_2'!A:A,'Pier geometry_2'!I:I)*_xlfn.XLOOKUP(B15,'Pier geometry_2'!A:A,'Pier geometry_2'!H:H)^3/12)</f>
        <v>0.69138719999999987</v>
      </c>
      <c r="E15" s="54">
        <f>IF(C15="","",_xlfn.XLOOKUP(B15,'Pier geometry_2'!A:A,'Pier geometry_2'!I:I)*_xlfn.XLOOKUP(B15,'Pier geometry_2'!A:A,'Pier geometry_2'!H:H))</f>
        <v>1.5959999999999999</v>
      </c>
      <c r="F15" s="67">
        <f ca="1">IF(E15="","",Max_shearforce_2!P15*((Max_shearforce_2!D15*(3*Max_shearforce_2!D15-Max_shearforce_2!D15))/(6*'Pushover Curve_2'!D15*'Material properties'!$H$11)+(6/5)/('Material properties'!$H$12*'Pushover Curve_2'!E15)))</f>
        <v>2.2050535674418347E-4</v>
      </c>
      <c r="G15" s="68">
        <f ca="1">IF(F15="","",IF(Max_shearforce_2!Q15="Flexure",0.0065,0.0043))</f>
        <v>6.4999999999999997E-3</v>
      </c>
      <c r="H15" s="69">
        <f t="shared" ca="1" si="1"/>
        <v>1.2999999999999999E-3</v>
      </c>
      <c r="I15" s="71">
        <f t="shared" ca="1" si="2"/>
        <v>1.3</v>
      </c>
      <c r="J15" s="69">
        <f t="shared" ca="1" si="3"/>
        <v>3.9699999999999999E-2</v>
      </c>
      <c r="K15" s="71">
        <f t="shared" ca="1" si="4"/>
        <v>39.699999999999996</v>
      </c>
      <c r="L15" s="53">
        <f ca="1">IF(J15="","",Max_shearforce_2!P15)</f>
        <v>34944.071346174504</v>
      </c>
      <c r="M15" s="71">
        <f t="shared" ca="1" si="5"/>
        <v>34.944071346174503</v>
      </c>
      <c r="N15" s="65">
        <v>15</v>
      </c>
      <c r="O15" s="78">
        <f t="shared" ca="1" si="6"/>
        <v>0</v>
      </c>
      <c r="P15" s="78">
        <f t="shared" ca="1" si="7"/>
        <v>34.944071346174503</v>
      </c>
      <c r="Q15" s="78">
        <f t="shared" ca="1" si="8"/>
        <v>34.944071346174503</v>
      </c>
      <c r="R15" s="78">
        <f t="shared" ca="1" si="9"/>
        <v>34.944071346174503</v>
      </c>
      <c r="S15" s="78">
        <f t="shared" ca="1" si="10"/>
        <v>34.944071346174503</v>
      </c>
      <c r="T15" s="78">
        <f t="shared" ca="1" si="11"/>
        <v>34.944071346174503</v>
      </c>
      <c r="U15" s="78">
        <f t="shared" ca="1" si="12"/>
        <v>34.944071346174503</v>
      </c>
      <c r="V15" s="78">
        <f t="shared" ca="1" si="13"/>
        <v>34.944071346174503</v>
      </c>
      <c r="W15" s="78">
        <f t="shared" ca="1" si="14"/>
        <v>34.944071346174503</v>
      </c>
      <c r="X15" s="78">
        <f t="shared" ca="1" si="15"/>
        <v>34.944071346174503</v>
      </c>
      <c r="Y15" s="78">
        <f t="shared" ca="1" si="16"/>
        <v>34.944071346174503</v>
      </c>
      <c r="Z15" s="78">
        <f t="shared" ca="1" si="17"/>
        <v>34.944071346174503</v>
      </c>
      <c r="AA15" s="78">
        <f t="shared" ca="1" si="18"/>
        <v>34.944071346174503</v>
      </c>
      <c r="AB15" s="78">
        <f t="shared" ca="1" si="19"/>
        <v>0</v>
      </c>
    </row>
    <row r="16" spans="1:42" x14ac:dyDescent="0.3">
      <c r="A16" s="65">
        <v>16</v>
      </c>
      <c r="B16" s="65">
        <v>68</v>
      </c>
      <c r="C16" s="65">
        <v>63</v>
      </c>
      <c r="D16" s="54">
        <f>IF(C16="","",_xlfn.XLOOKUP(B16,'Pier geometry_2'!A:A,'Pier geometry_2'!I:I)*_xlfn.XLOOKUP(B16,'Pier geometry_2'!A:A,'Pier geometry_2'!H:H)^3/12)</f>
        <v>4.9690666666666674</v>
      </c>
      <c r="E16" s="54">
        <f>IF(C16="","",_xlfn.XLOOKUP(B16,'Pier geometry_2'!A:A,'Pier geometry_2'!I:I)*_xlfn.XLOOKUP(B16,'Pier geometry_2'!A:A,'Pier geometry_2'!H:H))</f>
        <v>3.08</v>
      </c>
      <c r="F16" s="67">
        <f ca="1">IF(E16="","",Max_shearforce_2!P16*((Max_shearforce_2!D16*(3*Max_shearforce_2!D16-Max_shearforce_2!D16))/(6*'Pushover Curve_2'!D16*'Material properties'!$H$11)+(6/5)/('Material properties'!$H$12*'Pushover Curve_2'!E16)))</f>
        <v>3.2508124995011308E-4</v>
      </c>
      <c r="G16" s="68">
        <f ca="1">IF(F16="","",IF(Max_shearforce_2!Q16="Flexure",0.0065,0.0043))</f>
        <v>6.4999999999999997E-3</v>
      </c>
      <c r="H16" s="69">
        <f t="shared" ca="1" si="1"/>
        <v>2E-3</v>
      </c>
      <c r="I16" s="71">
        <f t="shared" ca="1" si="2"/>
        <v>2</v>
      </c>
      <c r="J16" s="69">
        <f t="shared" ca="1" si="3"/>
        <v>3.9699999999999999E-2</v>
      </c>
      <c r="K16" s="71">
        <f t="shared" ca="1" si="4"/>
        <v>39.699999999999996</v>
      </c>
      <c r="L16" s="53">
        <f ca="1">IF(J16="","",Max_shearforce_2!P16)</f>
        <v>161092.73137696105</v>
      </c>
      <c r="M16" s="71">
        <f t="shared" ca="1" si="5"/>
        <v>161.09273137696104</v>
      </c>
      <c r="N16" s="65">
        <v>16</v>
      </c>
      <c r="O16" s="78">
        <f t="shared" ca="1" si="6"/>
        <v>0</v>
      </c>
      <c r="P16" s="78">
        <f t="shared" ca="1" si="7"/>
        <v>104.71027539502468</v>
      </c>
      <c r="Q16" s="78">
        <f t="shared" ca="1" si="8"/>
        <v>112.76491196387272</v>
      </c>
      <c r="R16" s="78">
        <f t="shared" ca="1" si="9"/>
        <v>136.92882167041688</v>
      </c>
      <c r="S16" s="78">
        <f t="shared" ca="1" si="10"/>
        <v>144.98345823926493</v>
      </c>
      <c r="T16" s="78">
        <f t="shared" ca="1" si="11"/>
        <v>153.03809480811299</v>
      </c>
      <c r="U16" s="78">
        <f t="shared" ca="1" si="12"/>
        <v>161.09273137696104</v>
      </c>
      <c r="V16" s="78">
        <f t="shared" ca="1" si="13"/>
        <v>161.09273137696104</v>
      </c>
      <c r="W16" s="78">
        <f t="shared" ca="1" si="14"/>
        <v>161.09273137696104</v>
      </c>
      <c r="X16" s="78">
        <f t="shared" ca="1" si="15"/>
        <v>161.09273137696104</v>
      </c>
      <c r="Y16" s="78">
        <f t="shared" ca="1" si="16"/>
        <v>161.09273137696104</v>
      </c>
      <c r="Z16" s="78">
        <f t="shared" ca="1" si="17"/>
        <v>161.09273137696104</v>
      </c>
      <c r="AA16" s="78">
        <f t="shared" ca="1" si="18"/>
        <v>161.09273137696104</v>
      </c>
      <c r="AB16" s="78">
        <f t="shared" ca="1" si="19"/>
        <v>0</v>
      </c>
    </row>
    <row r="17" spans="1:28" x14ac:dyDescent="0.3">
      <c r="A17" s="65">
        <v>17</v>
      </c>
      <c r="B17" s="65">
        <v>69</v>
      </c>
      <c r="C17" s="65">
        <v>64</v>
      </c>
      <c r="D17" s="54">
        <f>IF(C17="","",_xlfn.XLOOKUP(B17,'Pier geometry_2'!A:A,'Pier geometry_2'!I:I)*_xlfn.XLOOKUP(B17,'Pier geometry_2'!A:A,'Pier geometry_2'!H:H)^3/12)</f>
        <v>0.69138719999999987</v>
      </c>
      <c r="E17" s="54">
        <f>IF(C17="","",_xlfn.XLOOKUP(B17,'Pier geometry_2'!A:A,'Pier geometry_2'!I:I)*_xlfn.XLOOKUP(B17,'Pier geometry_2'!A:A,'Pier geometry_2'!H:H))</f>
        <v>1.5959999999999999</v>
      </c>
      <c r="F17" s="67">
        <f ca="1">IF(E17="","",Max_shearforce_2!P17*((Max_shearforce_2!D17*(3*Max_shearforce_2!D17-Max_shearforce_2!D17))/(6*'Pushover Curve_2'!D17*'Material properties'!$H$11)+(6/5)/('Material properties'!$H$12*'Pushover Curve_2'!E17)))</f>
        <v>2.9519268352833138E-4</v>
      </c>
      <c r="G17" s="68">
        <f ca="1">IF(F17="","",IF(Max_shearforce_2!Q17="Flexure",0.0065,0.0043))</f>
        <v>6.4999999999999997E-3</v>
      </c>
      <c r="H17" s="69">
        <f t="shared" ca="1" si="1"/>
        <v>1.8E-3</v>
      </c>
      <c r="I17" s="71">
        <f t="shared" ca="1" si="2"/>
        <v>1.8</v>
      </c>
      <c r="J17" s="69">
        <f t="shared" ca="1" si="3"/>
        <v>3.9699999999999999E-2</v>
      </c>
      <c r="K17" s="71">
        <f t="shared" ca="1" si="4"/>
        <v>39.699999999999996</v>
      </c>
      <c r="L17" s="53">
        <f ca="1">IF(J17="","",Max_shearforce_2!P17)</f>
        <v>46779.971001111837</v>
      </c>
      <c r="M17" s="71">
        <f t="shared" ca="1" si="5"/>
        <v>46.779971001111839</v>
      </c>
      <c r="N17" s="65">
        <v>17</v>
      </c>
      <c r="O17" s="78">
        <f t="shared" ca="1" si="6"/>
        <v>0</v>
      </c>
      <c r="P17" s="78">
        <f t="shared" ca="1" si="7"/>
        <v>33.785534611914109</v>
      </c>
      <c r="Q17" s="78">
        <f t="shared" ca="1" si="8"/>
        <v>36.384421889753646</v>
      </c>
      <c r="R17" s="78">
        <f t="shared" ca="1" si="9"/>
        <v>44.181083723272295</v>
      </c>
      <c r="S17" s="78">
        <f t="shared" ca="1" si="10"/>
        <v>46.779971001111839</v>
      </c>
      <c r="T17" s="78">
        <f t="shared" ca="1" si="11"/>
        <v>46.779971001111839</v>
      </c>
      <c r="U17" s="78">
        <f t="shared" ca="1" si="12"/>
        <v>46.779971001111839</v>
      </c>
      <c r="V17" s="78">
        <f t="shared" ca="1" si="13"/>
        <v>46.779971001111839</v>
      </c>
      <c r="W17" s="78">
        <f t="shared" ca="1" si="14"/>
        <v>46.779971001111839</v>
      </c>
      <c r="X17" s="78">
        <f t="shared" ca="1" si="15"/>
        <v>46.779971001111839</v>
      </c>
      <c r="Y17" s="78">
        <f t="shared" ca="1" si="16"/>
        <v>46.779971001111839</v>
      </c>
      <c r="Z17" s="78">
        <f t="shared" ca="1" si="17"/>
        <v>46.779971001111839</v>
      </c>
      <c r="AA17" s="78">
        <f t="shared" ca="1" si="18"/>
        <v>46.779971001111839</v>
      </c>
      <c r="AB17" s="78">
        <f t="shared" ca="1" si="19"/>
        <v>0</v>
      </c>
    </row>
    <row r="18" spans="1:28" x14ac:dyDescent="0.3">
      <c r="A18"/>
      <c r="B18"/>
      <c r="C18"/>
      <c r="D18" t="str">
        <f>IF(C18="","",_xlfn.XLOOKUP(B18,'Pier geometry_2'!A:A,'Pier geometry_2'!I:I)*_xlfn.XLOOKUP(B18,'Pier geometry_2'!A:A,'Pier geometry_2'!H:H)^3/12)</f>
        <v/>
      </c>
      <c r="E18" t="str">
        <f>IF(C18="","",_xlfn.XLOOKUP(B18,'Pier geometry_2'!A:A,'Pier geometry_2'!I:I)*_xlfn.XLOOKUP(B18,'Pier geometry_2'!A:A,'Pier geometry_2'!H:H))</f>
        <v/>
      </c>
      <c r="F18" t="str">
        <f>IF(E18="","",Max_shearforce_2!P18*((Max_shearforce_2!D18*(3*Max_shearforce_2!D18-Max_shearforce_2!D18))/(6*'Pushover Curve_2'!D18*'Material properties'!$H$11)+(6/5)/('Material properties'!$H$12*'Pushover Curve_2'!E18)))</f>
        <v/>
      </c>
      <c r="G18" t="str">
        <f>IF(F18="","",IF(Max_shearforce_2!Q18="Flexure",0.0065,0.0043))</f>
        <v/>
      </c>
      <c r="H18" t="str">
        <f t="shared" si="1"/>
        <v/>
      </c>
      <c r="I18" t="str">
        <f t="shared" si="2"/>
        <v/>
      </c>
      <c r="J18" t="str">
        <f t="shared" si="3"/>
        <v/>
      </c>
      <c r="K18" t="str">
        <f t="shared" si="4"/>
        <v/>
      </c>
      <c r="L18" t="str">
        <f>IF(J18="","",Max_shearforce_2!P18)</f>
        <v/>
      </c>
      <c r="M18" t="str">
        <f t="shared" si="5"/>
        <v/>
      </c>
      <c r="O18" s="78" t="str">
        <f t="shared" si="6"/>
        <v/>
      </c>
      <c r="P18" s="78" t="str">
        <f t="shared" si="7"/>
        <v/>
      </c>
      <c r="Q18" s="78" t="str">
        <f t="shared" si="8"/>
        <v/>
      </c>
      <c r="R18" s="78" t="str">
        <f t="shared" si="9"/>
        <v/>
      </c>
      <c r="S18" s="78" t="str">
        <f t="shared" si="10"/>
        <v/>
      </c>
      <c r="T18" s="78" t="str">
        <f t="shared" si="11"/>
        <v/>
      </c>
      <c r="U18" s="78" t="str">
        <f t="shared" si="12"/>
        <v/>
      </c>
      <c r="V18" s="78" t="str">
        <f t="shared" si="13"/>
        <v/>
      </c>
      <c r="W18" s="78" t="str">
        <f t="shared" si="14"/>
        <v/>
      </c>
      <c r="X18" s="78" t="str">
        <f t="shared" si="15"/>
        <v/>
      </c>
      <c r="Y18" s="78" t="str">
        <f t="shared" si="16"/>
        <v/>
      </c>
      <c r="Z18" s="78" t="str">
        <f t="shared" si="17"/>
        <v/>
      </c>
      <c r="AA18" s="78" t="str">
        <f t="shared" si="18"/>
        <v/>
      </c>
      <c r="AB18" s="78" t="str">
        <f t="shared" si="19"/>
        <v/>
      </c>
    </row>
    <row r="19" spans="1:28" x14ac:dyDescent="0.3">
      <c r="A19" s="37" t="s">
        <v>41</v>
      </c>
      <c r="B19"/>
      <c r="C19"/>
      <c r="D19" t="str">
        <f>IF(C19="","",_xlfn.XLOOKUP(B19,'Pier geometry_2'!A:A,'Pier geometry_2'!I:I)*_xlfn.XLOOKUP(B19,'Pier geometry_2'!A:A,'Pier geometry_2'!H:H)^3/12)</f>
        <v/>
      </c>
      <c r="E19" t="str">
        <f>IF(C19="","",_xlfn.XLOOKUP(B19,'Pier geometry_2'!A:A,'Pier geometry_2'!I:I)*_xlfn.XLOOKUP(B19,'Pier geometry_2'!A:A,'Pier geometry_2'!H:H))</f>
        <v/>
      </c>
      <c r="F19" t="str">
        <f>IF(E19="","",Max_shearforce_2!P19*((Max_shearforce_2!D19*(3*Max_shearforce_2!D19-Max_shearforce_2!D19))/(6*'Pushover Curve_2'!D19*'Material properties'!$H$11)+(6/5)/('Material properties'!$H$12*'Pushover Curve_2'!E19)))</f>
        <v/>
      </c>
      <c r="G19" t="str">
        <f>IF(F19="","",IF(Max_shearforce_2!Q19="Flexure",0.0065,0.0043))</f>
        <v/>
      </c>
      <c r="H19" t="str">
        <f t="shared" si="1"/>
        <v/>
      </c>
      <c r="I19" t="str">
        <f t="shared" si="2"/>
        <v/>
      </c>
      <c r="J19" t="str">
        <f t="shared" si="3"/>
        <v/>
      </c>
      <c r="K19" t="str">
        <f t="shared" si="4"/>
        <v/>
      </c>
      <c r="L19" t="str">
        <f>IF(J19="","",Max_shearforce_2!P19)</f>
        <v/>
      </c>
      <c r="M19" t="str">
        <f t="shared" si="5"/>
        <v/>
      </c>
      <c r="N19" s="37" t="s">
        <v>41</v>
      </c>
      <c r="O19" s="78" t="str">
        <f t="shared" si="6"/>
        <v/>
      </c>
      <c r="P19" s="78" t="str">
        <f t="shared" si="7"/>
        <v/>
      </c>
      <c r="Q19" s="78" t="str">
        <f t="shared" si="8"/>
        <v/>
      </c>
      <c r="R19" s="78" t="str">
        <f t="shared" si="9"/>
        <v/>
      </c>
      <c r="S19" s="78" t="str">
        <f t="shared" si="10"/>
        <v/>
      </c>
      <c r="T19" s="78" t="str">
        <f t="shared" si="11"/>
        <v/>
      </c>
      <c r="U19" s="78" t="str">
        <f t="shared" si="12"/>
        <v/>
      </c>
      <c r="V19" s="78" t="str">
        <f t="shared" si="13"/>
        <v/>
      </c>
      <c r="W19" s="78" t="str">
        <f t="shared" si="14"/>
        <v/>
      </c>
      <c r="X19" s="78" t="str">
        <f t="shared" si="15"/>
        <v/>
      </c>
      <c r="Y19" s="78" t="str">
        <f t="shared" si="16"/>
        <v/>
      </c>
      <c r="Z19" s="78" t="str">
        <f t="shared" si="17"/>
        <v/>
      </c>
      <c r="AA19" s="78" t="str">
        <f t="shared" si="18"/>
        <v/>
      </c>
      <c r="AB19" s="78" t="str">
        <f t="shared" si="19"/>
        <v/>
      </c>
    </row>
    <row r="20" spans="1:28" x14ac:dyDescent="0.3">
      <c r="A20" s="65">
        <v>22</v>
      </c>
      <c r="B20" s="65">
        <v>95</v>
      </c>
      <c r="C20" s="65">
        <v>90</v>
      </c>
      <c r="D20" s="54">
        <f>IF(C20="","",_xlfn.XLOOKUP(B20,'Pier geometry_2'!A:A,'Pier geometry_2'!I:I)*_xlfn.XLOOKUP(B20,'Pier geometry_2'!A:A,'Pier geometry_2'!H:H)^3/12)</f>
        <v>8.9999999999999993E-3</v>
      </c>
      <c r="E20" s="54">
        <f>IF(C20="","",_xlfn.XLOOKUP(B20,'Pier geometry_2'!A:A,'Pier geometry_2'!I:I)*_xlfn.XLOOKUP(B20,'Pier geometry_2'!A:A,'Pier geometry_2'!H:H))</f>
        <v>0.3</v>
      </c>
      <c r="F20" s="67">
        <f ca="1">IF(E20="","",Max_shearforce_2!P20*((Max_shearforce_2!D20*(3*Max_shearforce_2!D20-Max_shearforce_2!D20))/(6*'Pushover Curve_2'!D20*'Material properties'!$H$11)+(6/5)/('Material properties'!$H$12*'Pushover Curve_2'!E20)))</f>
        <v>1.3844460148983615E-3</v>
      </c>
      <c r="G20" s="68">
        <f ca="1">IF(F20="","",IF(Max_shearforce_2!Q20="Flexure",0.0065,0.0043))</f>
        <v>6.4999999999999997E-3</v>
      </c>
      <c r="H20" s="69">
        <f t="shared" ca="1" si="1"/>
        <v>8.3999999999999995E-3</v>
      </c>
      <c r="I20" s="71">
        <f t="shared" ca="1" si="2"/>
        <v>8.4</v>
      </c>
      <c r="J20" s="69">
        <f t="shared" ca="1" si="3"/>
        <v>3.9699999999999999E-2</v>
      </c>
      <c r="K20" s="71">
        <f t="shared" ca="1" si="4"/>
        <v>39.699999999999996</v>
      </c>
      <c r="L20" s="53">
        <f ca="1">IF(J20="","",Max_shearforce_2!P20)</f>
        <v>3770.6271476960119</v>
      </c>
      <c r="M20" s="71">
        <f t="shared" ca="1" si="5"/>
        <v>3.770627147696012</v>
      </c>
      <c r="N20" s="65">
        <v>22</v>
      </c>
      <c r="O20" s="78">
        <f t="shared" ca="1" si="6"/>
        <v>0</v>
      </c>
      <c r="P20" s="78">
        <f t="shared" ca="1" si="7"/>
        <v>0.58354943952438287</v>
      </c>
      <c r="Q20" s="78">
        <f t="shared" ca="1" si="8"/>
        <v>0.62843785794933527</v>
      </c>
      <c r="R20" s="78">
        <f t="shared" ca="1" si="9"/>
        <v>0.76310311322419278</v>
      </c>
      <c r="S20" s="78">
        <f t="shared" ca="1" si="10"/>
        <v>0.80799153164914539</v>
      </c>
      <c r="T20" s="78">
        <f t="shared" ca="1" si="11"/>
        <v>0.85287995007409789</v>
      </c>
      <c r="U20" s="78">
        <f t="shared" ca="1" si="12"/>
        <v>0.8977683684990504</v>
      </c>
      <c r="V20" s="78">
        <f t="shared" ca="1" si="13"/>
        <v>1.0773220421988605</v>
      </c>
      <c r="W20" s="78">
        <f t="shared" ca="1" si="14"/>
        <v>1.5710946448733383</v>
      </c>
      <c r="X20" s="78">
        <f t="shared" ca="1" si="15"/>
        <v>2.1097556659727688</v>
      </c>
      <c r="Y20" s="78">
        <f t="shared" ca="1" si="16"/>
        <v>3.770627147696012</v>
      </c>
      <c r="Z20" s="78">
        <f t="shared" ca="1" si="17"/>
        <v>3.770627147696012</v>
      </c>
      <c r="AA20" s="78">
        <f t="shared" ca="1" si="18"/>
        <v>3.770627147696012</v>
      </c>
      <c r="AB20" s="78">
        <f t="shared" ca="1" si="19"/>
        <v>0</v>
      </c>
    </row>
    <row r="21" spans="1:28" x14ac:dyDescent="0.3">
      <c r="A21" s="65">
        <v>23</v>
      </c>
      <c r="B21" s="65">
        <v>96</v>
      </c>
      <c r="C21" s="65">
        <v>91</v>
      </c>
      <c r="D21" s="54">
        <f>IF(C21="","",_xlfn.XLOOKUP(B21,'Pier geometry_2'!A:A,'Pier geometry_2'!I:I)*_xlfn.XLOOKUP(B21,'Pier geometry_2'!A:A,'Pier geometry_2'!H:H)^3/12)</f>
        <v>8.384585666666668</v>
      </c>
      <c r="E21" s="54">
        <f>IF(C21="","",_xlfn.XLOOKUP(B21,'Pier geometry_2'!A:A,'Pier geometry_2'!I:I)*_xlfn.XLOOKUP(B21,'Pier geometry_2'!A:A,'Pier geometry_2'!H:H))</f>
        <v>2.93</v>
      </c>
      <c r="F21" s="67">
        <f ca="1">IF(E21="","",Max_shearforce_2!P21*((Max_shearforce_2!D21*(3*Max_shearforce_2!D21-Max_shearforce_2!D21))/(6*'Pushover Curve_2'!D21*'Material properties'!$H$11)+(6/5)/('Material properties'!$H$12*'Pushover Curve_2'!E21)))</f>
        <v>3.2608813054086462E-4</v>
      </c>
      <c r="G21" s="68">
        <f ca="1">IF(F21="","",IF(Max_shearforce_2!Q21="Flexure",0.0065,0.0043))</f>
        <v>4.3E-3</v>
      </c>
      <c r="H21" s="69">
        <f t="shared" ca="1" si="1"/>
        <v>2E-3</v>
      </c>
      <c r="I21" s="71">
        <f t="shared" ca="1" si="2"/>
        <v>2</v>
      </c>
      <c r="J21" s="69">
        <f t="shared" ca="1" si="3"/>
        <v>2.6200000000000001E-2</v>
      </c>
      <c r="K21" s="71">
        <f t="shared" ca="1" si="4"/>
        <v>26.200000000000003</v>
      </c>
      <c r="L21" s="53">
        <f ca="1">IF(J21="","",Max_shearforce_2!P21)</f>
        <v>161816.9890208983</v>
      </c>
      <c r="M21" s="71">
        <f t="shared" ca="1" si="5"/>
        <v>161.81698902089829</v>
      </c>
      <c r="N21" s="65">
        <v>23</v>
      </c>
      <c r="O21" s="78">
        <f t="shared" ca="1" si="6"/>
        <v>0</v>
      </c>
      <c r="P21" s="78">
        <f t="shared" ca="1" si="7"/>
        <v>105.1810428635839</v>
      </c>
      <c r="Q21" s="78">
        <f t="shared" ca="1" si="8"/>
        <v>113.2718923146288</v>
      </c>
      <c r="R21" s="78">
        <f t="shared" ca="1" si="9"/>
        <v>137.54444066776355</v>
      </c>
      <c r="S21" s="78">
        <f t="shared" ca="1" si="10"/>
        <v>145.63529011880846</v>
      </c>
      <c r="T21" s="78">
        <f t="shared" ca="1" si="11"/>
        <v>153.72613956985336</v>
      </c>
      <c r="U21" s="78">
        <f t="shared" ca="1" si="12"/>
        <v>161.81698902089829</v>
      </c>
      <c r="V21" s="78">
        <f t="shared" ca="1" si="13"/>
        <v>161.81698902089829</v>
      </c>
      <c r="W21" s="78">
        <f t="shared" ca="1" si="14"/>
        <v>161.81698902089829</v>
      </c>
      <c r="X21" s="78">
        <f t="shared" ca="1" si="15"/>
        <v>161.81698902089829</v>
      </c>
      <c r="Y21" s="78">
        <f t="shared" ca="1" si="16"/>
        <v>161.81698902089829</v>
      </c>
      <c r="Z21" s="78">
        <f t="shared" ca="1" si="17"/>
        <v>161.81698902089829</v>
      </c>
      <c r="AA21" s="78">
        <f t="shared" ca="1" si="18"/>
        <v>0</v>
      </c>
      <c r="AB21" s="78">
        <f t="shared" ca="1" si="19"/>
        <v>0</v>
      </c>
    </row>
    <row r="22" spans="1:28" x14ac:dyDescent="0.3">
      <c r="A22" s="65">
        <v>24</v>
      </c>
      <c r="B22" s="65">
        <v>97</v>
      </c>
      <c r="C22" s="65">
        <v>92</v>
      </c>
      <c r="D22" s="54">
        <f>IF(C22="","",_xlfn.XLOOKUP(B22,'Pier geometry_2'!A:A,'Pier geometry_2'!I:I)*_xlfn.XLOOKUP(B22,'Pier geometry_2'!A:A,'Pier geometry_2'!H:H)^3/12)</f>
        <v>0.46206529166666671</v>
      </c>
      <c r="E22" s="54">
        <f>IF(C22="","",_xlfn.XLOOKUP(B22,'Pier geometry_2'!A:A,'Pier geometry_2'!I:I)*_xlfn.XLOOKUP(B22,'Pier geometry_2'!A:A,'Pier geometry_2'!H:H))</f>
        <v>1.115</v>
      </c>
      <c r="F22" s="67">
        <f ca="1">IF(E22="","",Max_shearforce_2!P22*((Max_shearforce_2!D22*(3*Max_shearforce_2!D22-Max_shearforce_2!D22))/(6*'Pushover Curve_2'!D22*'Material properties'!$H$11)+(6/5)/('Material properties'!$H$12*'Pushover Curve_2'!E22)))</f>
        <v>2.1491883203029197E-4</v>
      </c>
      <c r="G22" s="68">
        <f ca="1">IF(F22="","",IF(Max_shearforce_2!Q22="Flexure",0.0065,0.0043))</f>
        <v>6.4999999999999997E-3</v>
      </c>
      <c r="H22" s="69">
        <f t="shared" ca="1" si="1"/>
        <v>1.2999999999999999E-3</v>
      </c>
      <c r="I22" s="71">
        <f t="shared" ca="1" si="2"/>
        <v>1.3</v>
      </c>
      <c r="J22" s="69">
        <f t="shared" ca="1" si="3"/>
        <v>3.9699999999999999E-2</v>
      </c>
      <c r="K22" s="71">
        <f t="shared" ca="1" si="4"/>
        <v>39.699999999999996</v>
      </c>
      <c r="L22" s="53">
        <f ca="1">IF(J22="","",Max_shearforce_2!P22)</f>
        <v>19284.118144596443</v>
      </c>
      <c r="M22" s="71">
        <f t="shared" ca="1" si="5"/>
        <v>19.284118144596444</v>
      </c>
      <c r="N22" s="65">
        <v>24</v>
      </c>
      <c r="O22" s="78">
        <f t="shared" ca="1" si="6"/>
        <v>0</v>
      </c>
      <c r="P22" s="78">
        <f t="shared" ca="1" si="7"/>
        <v>19.284118144596444</v>
      </c>
      <c r="Q22" s="78">
        <f t="shared" ca="1" si="8"/>
        <v>19.284118144596444</v>
      </c>
      <c r="R22" s="78">
        <f t="shared" ca="1" si="9"/>
        <v>19.284118144596444</v>
      </c>
      <c r="S22" s="78">
        <f t="shared" ca="1" si="10"/>
        <v>19.284118144596444</v>
      </c>
      <c r="T22" s="78">
        <f t="shared" ca="1" si="11"/>
        <v>19.284118144596444</v>
      </c>
      <c r="U22" s="78">
        <f t="shared" ca="1" si="12"/>
        <v>19.284118144596444</v>
      </c>
      <c r="V22" s="78">
        <f t="shared" ca="1" si="13"/>
        <v>19.284118144596444</v>
      </c>
      <c r="W22" s="78">
        <f t="shared" ca="1" si="14"/>
        <v>19.284118144596444</v>
      </c>
      <c r="X22" s="78">
        <f t="shared" ca="1" si="15"/>
        <v>19.284118144596444</v>
      </c>
      <c r="Y22" s="78">
        <f t="shared" ca="1" si="16"/>
        <v>19.284118144596444</v>
      </c>
      <c r="Z22" s="78">
        <f t="shared" ca="1" si="17"/>
        <v>19.284118144596444</v>
      </c>
      <c r="AA22" s="78">
        <f t="shared" ca="1" si="18"/>
        <v>19.284118144596444</v>
      </c>
      <c r="AB22" s="78">
        <f t="shared" ca="1" si="19"/>
        <v>0</v>
      </c>
    </row>
    <row r="23" spans="1:28" x14ac:dyDescent="0.3">
      <c r="A23"/>
      <c r="B23"/>
      <c r="C23"/>
      <c r="D23" t="str">
        <f>IF(C23="","",_xlfn.XLOOKUP(B23,'Pier geometry_2'!A:A,'Pier geometry_2'!I:I)*_xlfn.XLOOKUP(B23,'Pier geometry_2'!A:A,'Pier geometry_2'!H:H)^3/12)</f>
        <v/>
      </c>
      <c r="E23" t="str">
        <f>IF(C23="","",_xlfn.XLOOKUP(B23,'Pier geometry_2'!A:A,'Pier geometry_2'!I:I)*_xlfn.XLOOKUP(B23,'Pier geometry_2'!A:A,'Pier geometry_2'!H:H))</f>
        <v/>
      </c>
      <c r="F23" t="str">
        <f>IF(E23="","",Max_shearforce_2!P23*((Max_shearforce_2!D23*(3*Max_shearforce_2!D23-Max_shearforce_2!D23))/(6*'Pushover Curve_2'!D23*'Material properties'!$H$11)+(6/5)/('Material properties'!$H$12*'Pushover Curve_2'!E23)))</f>
        <v/>
      </c>
      <c r="G23" t="str">
        <f>IF(F23="","",IF(Max_shearforce_2!Q23="Flexure",0.0065,0.0043))</f>
        <v/>
      </c>
      <c r="H23" t="str">
        <f t="shared" si="1"/>
        <v/>
      </c>
      <c r="I23" t="str">
        <f t="shared" si="2"/>
        <v/>
      </c>
      <c r="J23" t="str">
        <f t="shared" si="3"/>
        <v/>
      </c>
      <c r="K23" t="str">
        <f t="shared" si="4"/>
        <v/>
      </c>
      <c r="L23" t="str">
        <f>IF(J23="","",Max_shearforce_2!P23)</f>
        <v/>
      </c>
      <c r="M23" t="str">
        <f t="shared" si="5"/>
        <v/>
      </c>
      <c r="O23" s="78" t="str">
        <f t="shared" si="6"/>
        <v/>
      </c>
      <c r="P23" s="78" t="str">
        <f t="shared" si="7"/>
        <v/>
      </c>
      <c r="Q23" s="78" t="str">
        <f t="shared" si="8"/>
        <v/>
      </c>
      <c r="R23" s="78" t="str">
        <f t="shared" si="9"/>
        <v/>
      </c>
      <c r="S23" s="78" t="str">
        <f t="shared" si="10"/>
        <v/>
      </c>
      <c r="T23" s="78" t="str">
        <f t="shared" si="11"/>
        <v/>
      </c>
      <c r="U23" s="78" t="str">
        <f t="shared" si="12"/>
        <v/>
      </c>
      <c r="V23" s="78" t="str">
        <f t="shared" si="13"/>
        <v/>
      </c>
      <c r="W23" s="78" t="str">
        <f t="shared" si="14"/>
        <v/>
      </c>
      <c r="X23" s="78" t="str">
        <f t="shared" si="15"/>
        <v/>
      </c>
      <c r="Y23" s="78" t="str">
        <f t="shared" si="16"/>
        <v/>
      </c>
      <c r="Z23" s="78" t="str">
        <f t="shared" si="17"/>
        <v/>
      </c>
      <c r="AA23" s="78" t="str">
        <f t="shared" si="18"/>
        <v/>
      </c>
      <c r="AB23" s="78" t="str">
        <f t="shared" si="19"/>
        <v/>
      </c>
    </row>
    <row r="24" spans="1:28" x14ac:dyDescent="0.3">
      <c r="A24" s="37" t="s">
        <v>42</v>
      </c>
      <c r="B24"/>
      <c r="C24"/>
      <c r="D24" t="str">
        <f>IF(C24="","",_xlfn.XLOOKUP(B24,'Pier geometry_2'!A:A,'Pier geometry_2'!I:I)*_xlfn.XLOOKUP(B24,'Pier geometry_2'!A:A,'Pier geometry_2'!H:H)^3/12)</f>
        <v/>
      </c>
      <c r="E24" t="str">
        <f>IF(C24="","",_xlfn.XLOOKUP(B24,'Pier geometry_2'!A:A,'Pier geometry_2'!I:I)*_xlfn.XLOOKUP(B24,'Pier geometry_2'!A:A,'Pier geometry_2'!H:H))</f>
        <v/>
      </c>
      <c r="F24" t="str">
        <f>IF(E24="","",Max_shearforce_2!P24*((Max_shearforce_2!D24*(3*Max_shearforce_2!D24-Max_shearforce_2!D24))/(6*'Pushover Curve_2'!D24*'Material properties'!$H$11)+(6/5)/('Material properties'!$H$12*'Pushover Curve_2'!E24)))</f>
        <v/>
      </c>
      <c r="G24" t="str">
        <f>IF(F24="","",IF(Max_shearforce_2!Q24="Flexure",0.0065,0.0043))</f>
        <v/>
      </c>
      <c r="H24" t="str">
        <f t="shared" si="1"/>
        <v/>
      </c>
      <c r="I24" t="str">
        <f t="shared" si="2"/>
        <v/>
      </c>
      <c r="J24" t="str">
        <f t="shared" si="3"/>
        <v/>
      </c>
      <c r="K24" t="str">
        <f t="shared" si="4"/>
        <v/>
      </c>
      <c r="L24" t="str">
        <f>IF(J24="","",Max_shearforce_2!P24)</f>
        <v/>
      </c>
      <c r="M24" t="str">
        <f t="shared" si="5"/>
        <v/>
      </c>
      <c r="N24" s="37" t="s">
        <v>42</v>
      </c>
      <c r="O24" s="78" t="str">
        <f t="shared" si="6"/>
        <v/>
      </c>
      <c r="P24" s="78" t="str">
        <f t="shared" si="7"/>
        <v/>
      </c>
      <c r="Q24" s="78" t="str">
        <f t="shared" si="8"/>
        <v/>
      </c>
      <c r="R24" s="78" t="str">
        <f t="shared" si="9"/>
        <v/>
      </c>
      <c r="S24" s="78" t="str">
        <f t="shared" si="10"/>
        <v/>
      </c>
      <c r="T24" s="78" t="str">
        <f t="shared" si="11"/>
        <v/>
      </c>
      <c r="U24" s="78" t="str">
        <f t="shared" si="12"/>
        <v/>
      </c>
      <c r="V24" s="78" t="str">
        <f t="shared" si="13"/>
        <v/>
      </c>
      <c r="W24" s="78" t="str">
        <f t="shared" si="14"/>
        <v/>
      </c>
      <c r="X24" s="78" t="str">
        <f t="shared" si="15"/>
        <v/>
      </c>
      <c r="Y24" s="78" t="str">
        <f t="shared" si="16"/>
        <v/>
      </c>
      <c r="Z24" s="78" t="str">
        <f t="shared" si="17"/>
        <v/>
      </c>
      <c r="AA24" s="78" t="str">
        <f t="shared" si="18"/>
        <v/>
      </c>
      <c r="AB24" s="78" t="str">
        <f t="shared" si="19"/>
        <v/>
      </c>
    </row>
    <row r="25" spans="1:28" x14ac:dyDescent="0.3">
      <c r="A25" s="65">
        <v>25</v>
      </c>
      <c r="B25" s="65">
        <v>108</v>
      </c>
      <c r="C25" s="65">
        <v>101</v>
      </c>
      <c r="D25" s="54">
        <f>IF(C25="","",_xlfn.XLOOKUP(B25,'Pier geometry_2'!A:A,'Pier geometry_2'!I:I)*_xlfn.XLOOKUP(B25,'Pier geometry_2'!A:A,'Pier geometry_2'!H:H)^3/12)</f>
        <v>3.3127916666666666E-3</v>
      </c>
      <c r="E25" s="54">
        <f>IF(C25="","",_xlfn.XLOOKUP(B25,'Pier geometry_2'!A:A,'Pier geometry_2'!I:I)*_xlfn.XLOOKUP(B25,'Pier geometry_2'!A:A,'Pier geometry_2'!H:H))</f>
        <v>0.215</v>
      </c>
      <c r="F25" s="67">
        <f ca="1">IF(E25="","",Max_shearforce_2!P25*((Max_shearforce_2!D25*(3*Max_shearforce_2!D25-Max_shearforce_2!D25))/(6*'Pushover Curve_2'!D25*'Material properties'!$H$11)+(6/5)/('Material properties'!$H$12*'Pushover Curve_2'!E25)))</f>
        <v>7.6651868716006528E-4</v>
      </c>
      <c r="G25" s="68">
        <f ca="1">IF(F25="","",IF(Max_shearforce_2!Q25="Flexure",0.0065,0.0043))</f>
        <v>6.4999999999999997E-3</v>
      </c>
      <c r="H25" s="69">
        <f t="shared" ca="1" si="1"/>
        <v>4.7000000000000002E-3</v>
      </c>
      <c r="I25" s="71">
        <f t="shared" ca="1" si="2"/>
        <v>4.7</v>
      </c>
      <c r="J25" s="69">
        <f t="shared" ca="1" si="3"/>
        <v>3.9699999999999999E-2</v>
      </c>
      <c r="K25" s="71">
        <f t="shared" ca="1" si="4"/>
        <v>39.699999999999996</v>
      </c>
      <c r="L25" s="53">
        <f ca="1">IF(J25="","",Max_shearforce_2!P25)</f>
        <v>785.08361994376878</v>
      </c>
      <c r="M25" s="71">
        <f t="shared" ca="1" si="5"/>
        <v>0.78508361994376874</v>
      </c>
      <c r="N25" s="65">
        <v>25</v>
      </c>
      <c r="O25" s="78">
        <f t="shared" ca="1" si="6"/>
        <v>0</v>
      </c>
      <c r="P25" s="78">
        <f t="shared" ca="1" si="7"/>
        <v>0.21715078849508498</v>
      </c>
      <c r="Q25" s="78">
        <f t="shared" ca="1" si="8"/>
        <v>0.23385469530239919</v>
      </c>
      <c r="R25" s="78">
        <f t="shared" ca="1" si="9"/>
        <v>0.28396641572434184</v>
      </c>
      <c r="S25" s="78">
        <f t="shared" ca="1" si="10"/>
        <v>0.3006703225316561</v>
      </c>
      <c r="T25" s="78">
        <f t="shared" ca="1" si="11"/>
        <v>0.3173742293389703</v>
      </c>
      <c r="U25" s="78">
        <f t="shared" ca="1" si="12"/>
        <v>0.33407813614628457</v>
      </c>
      <c r="V25" s="78">
        <f t="shared" ca="1" si="13"/>
        <v>0.40089376337554145</v>
      </c>
      <c r="W25" s="78">
        <f t="shared" ca="1" si="14"/>
        <v>0.58463673825599793</v>
      </c>
      <c r="X25" s="78">
        <f t="shared" ca="1" si="15"/>
        <v>0.78508361994376874</v>
      </c>
      <c r="Y25" s="78">
        <f t="shared" ca="1" si="16"/>
        <v>0.78508361994376874</v>
      </c>
      <c r="Z25" s="78">
        <f t="shared" ca="1" si="17"/>
        <v>0.78508361994376874</v>
      </c>
      <c r="AA25" s="78">
        <f t="shared" ca="1" si="18"/>
        <v>0.78508361994376874</v>
      </c>
      <c r="AB25" s="78">
        <f t="shared" ca="1" si="19"/>
        <v>0</v>
      </c>
    </row>
    <row r="26" spans="1:28" x14ac:dyDescent="0.3">
      <c r="A26" s="65">
        <v>26</v>
      </c>
      <c r="B26" s="65">
        <v>109</v>
      </c>
      <c r="C26" s="65">
        <v>102</v>
      </c>
      <c r="D26" s="54">
        <f>IF(C26="","",_xlfn.XLOOKUP(B26,'Pier geometry_2'!A:A,'Pier geometry_2'!I:I)*_xlfn.XLOOKUP(B26,'Pier geometry_2'!A:A,'Pier geometry_2'!H:H)^3/12)</f>
        <v>6.3369791666666647E-2</v>
      </c>
      <c r="E26" s="54">
        <f>IF(C26="","",_xlfn.XLOOKUP(B26,'Pier geometry_2'!A:A,'Pier geometry_2'!I:I)*_xlfn.XLOOKUP(B26,'Pier geometry_2'!A:A,'Pier geometry_2'!H:H))</f>
        <v>0.57499999999999996</v>
      </c>
      <c r="F26" s="67">
        <f ca="1">IF(E26="","",Max_shearforce_2!P26*((Max_shearforce_2!D26*(3*Max_shearforce_2!D26-Max_shearforce_2!D26))/(6*'Pushover Curve_2'!D26*'Material properties'!$H$11)+(6/5)/('Material properties'!$H$12*'Pushover Curve_2'!E26)))</f>
        <v>5.6749774791596899E-4</v>
      </c>
      <c r="G26" s="68">
        <f ca="1">IF(F26="","",IF(Max_shearforce_2!Q26="Flexure",0.0065,0.0043))</f>
        <v>6.4999999999999997E-3</v>
      </c>
      <c r="H26" s="69">
        <f t="shared" ca="1" si="1"/>
        <v>3.5000000000000001E-3</v>
      </c>
      <c r="I26" s="71">
        <f t="shared" ca="1" si="2"/>
        <v>3.5</v>
      </c>
      <c r="J26" s="69">
        <f t="shared" ca="1" si="3"/>
        <v>3.9699999999999999E-2</v>
      </c>
      <c r="K26" s="71">
        <f t="shared" ca="1" si="4"/>
        <v>39.699999999999996</v>
      </c>
      <c r="L26" s="53">
        <f ca="1">IF(J26="","",Max_shearforce_2!P26)</f>
        <v>9747.1945316722977</v>
      </c>
      <c r="M26" s="71">
        <f t="shared" ca="1" si="5"/>
        <v>9.7471945316722977</v>
      </c>
      <c r="N26" s="65">
        <v>26</v>
      </c>
      <c r="O26" s="78">
        <f t="shared" ca="1" si="6"/>
        <v>0</v>
      </c>
      <c r="P26" s="78">
        <f t="shared" ca="1" si="7"/>
        <v>3.6203865403354252</v>
      </c>
      <c r="Q26" s="78">
        <f t="shared" ca="1" si="8"/>
        <v>3.8988778126689185</v>
      </c>
      <c r="R26" s="78">
        <f t="shared" ca="1" si="9"/>
        <v>4.7343516296694013</v>
      </c>
      <c r="S26" s="78">
        <f t="shared" ca="1" si="10"/>
        <v>5.0128429020028964</v>
      </c>
      <c r="T26" s="78">
        <f t="shared" ca="1" si="11"/>
        <v>5.2913341743363898</v>
      </c>
      <c r="U26" s="78">
        <f t="shared" ca="1" si="12"/>
        <v>5.569825446669884</v>
      </c>
      <c r="V26" s="78">
        <f t="shared" ca="1" si="13"/>
        <v>6.683790536003861</v>
      </c>
      <c r="W26" s="78">
        <f t="shared" ca="1" si="14"/>
        <v>9.7471945316722977</v>
      </c>
      <c r="X26" s="78">
        <f t="shared" ca="1" si="15"/>
        <v>9.7471945316722977</v>
      </c>
      <c r="Y26" s="78">
        <f t="shared" ca="1" si="16"/>
        <v>9.7471945316722977</v>
      </c>
      <c r="Z26" s="78">
        <f t="shared" ca="1" si="17"/>
        <v>9.7471945316722977</v>
      </c>
      <c r="AA26" s="78">
        <f t="shared" ca="1" si="18"/>
        <v>9.7471945316722977</v>
      </c>
      <c r="AB26" s="78">
        <f t="shared" ca="1" si="19"/>
        <v>0</v>
      </c>
    </row>
    <row r="27" spans="1:28" x14ac:dyDescent="0.3">
      <c r="A27" s="65">
        <v>27</v>
      </c>
      <c r="B27" s="65">
        <v>110</v>
      </c>
      <c r="C27" s="65">
        <v>103</v>
      </c>
      <c r="D27" s="54">
        <f>IF(C27="","",_xlfn.XLOOKUP(B27,'Pier geometry_2'!A:A,'Pier geometry_2'!I:I)*_xlfn.XLOOKUP(B27,'Pier geometry_2'!A:A,'Pier geometry_2'!H:H)^3/12)</f>
        <v>2.471625</v>
      </c>
      <c r="E27" s="54">
        <f>IF(C27="","",_xlfn.XLOOKUP(B27,'Pier geometry_2'!A:A,'Pier geometry_2'!I:I)*_xlfn.XLOOKUP(B27,'Pier geometry_2'!A:A,'Pier geometry_2'!H:H))</f>
        <v>1.95</v>
      </c>
      <c r="F27" s="67">
        <f ca="1">IF(E27="","",Max_shearforce_2!P27*((Max_shearforce_2!D27*(3*Max_shearforce_2!D27-Max_shearforce_2!D27))/(6*'Pushover Curve_2'!D27*'Material properties'!$H$11)+(6/5)/('Material properties'!$H$12*'Pushover Curve_2'!E27)))</f>
        <v>3.1304309276355898E-4</v>
      </c>
      <c r="G27" s="68">
        <f ca="1">IF(F27="","",IF(Max_shearforce_2!Q27="Flexure",0.0065,0.0043))</f>
        <v>6.4999999999999997E-3</v>
      </c>
      <c r="H27" s="69">
        <f t="shared" ca="1" si="1"/>
        <v>1.9E-3</v>
      </c>
      <c r="I27" s="71">
        <f t="shared" ca="1" si="2"/>
        <v>1.9</v>
      </c>
      <c r="J27" s="69">
        <f t="shared" ca="1" si="3"/>
        <v>3.9699999999999999E-2</v>
      </c>
      <c r="K27" s="71">
        <f t="shared" ca="1" si="4"/>
        <v>39.699999999999996</v>
      </c>
      <c r="L27" s="53">
        <f ca="1">IF(J27="","",Max_shearforce_2!P27)</f>
        <v>83695.781361064102</v>
      </c>
      <c r="M27" s="71">
        <f t="shared" ca="1" si="5"/>
        <v>83.695781361064107</v>
      </c>
      <c r="N27" s="65">
        <v>27</v>
      </c>
      <c r="O27" s="78">
        <f t="shared" ca="1" si="6"/>
        <v>0</v>
      </c>
      <c r="P27" s="78">
        <f t="shared" ca="1" si="7"/>
        <v>57.265534615464915</v>
      </c>
      <c r="Q27" s="78">
        <f t="shared" ca="1" si="8"/>
        <v>61.670575739731447</v>
      </c>
      <c r="R27" s="78">
        <f t="shared" ca="1" si="9"/>
        <v>74.885699112531043</v>
      </c>
      <c r="S27" s="78">
        <f t="shared" ca="1" si="10"/>
        <v>79.290740236797575</v>
      </c>
      <c r="T27" s="78">
        <f t="shared" ca="1" si="11"/>
        <v>83.695781361064107</v>
      </c>
      <c r="U27" s="78">
        <f t="shared" ca="1" si="12"/>
        <v>83.695781361064107</v>
      </c>
      <c r="V27" s="78">
        <f t="shared" ca="1" si="13"/>
        <v>83.695781361064107</v>
      </c>
      <c r="W27" s="78">
        <f t="shared" ca="1" si="14"/>
        <v>83.695781361064107</v>
      </c>
      <c r="X27" s="78">
        <f t="shared" ca="1" si="15"/>
        <v>83.695781361064107</v>
      </c>
      <c r="Y27" s="78">
        <f t="shared" ca="1" si="16"/>
        <v>83.695781361064107</v>
      </c>
      <c r="Z27" s="78">
        <f t="shared" ca="1" si="17"/>
        <v>83.695781361064107</v>
      </c>
      <c r="AA27" s="78">
        <f t="shared" ca="1" si="18"/>
        <v>83.695781361064107</v>
      </c>
      <c r="AB27" s="78">
        <f t="shared" ca="1" si="19"/>
        <v>0</v>
      </c>
    </row>
    <row r="28" spans="1:28" x14ac:dyDescent="0.3">
      <c r="A28" s="65">
        <v>28</v>
      </c>
      <c r="B28" s="65">
        <v>111</v>
      </c>
      <c r="C28" s="65">
        <v>104</v>
      </c>
      <c r="D28" s="54">
        <f>IF(C28="","",_xlfn.XLOOKUP(B28,'Pier geometry_2'!A:A,'Pier geometry_2'!I:I)*_xlfn.XLOOKUP(B28,'Pier geometry_2'!A:A,'Pier geometry_2'!H:H)^3/12)</f>
        <v>0.46206529166666671</v>
      </c>
      <c r="E28" s="54">
        <f>IF(C28="","",_xlfn.XLOOKUP(B28,'Pier geometry_2'!A:A,'Pier geometry_2'!I:I)*_xlfn.XLOOKUP(B28,'Pier geometry_2'!A:A,'Pier geometry_2'!H:H))</f>
        <v>1.115</v>
      </c>
      <c r="F28" s="67">
        <f ca="1">IF(E28="","",Max_shearforce_2!P28*((Max_shearforce_2!D28*(3*Max_shearforce_2!D28-Max_shearforce_2!D28))/(6*'Pushover Curve_2'!D28*'Material properties'!$H$11)+(6/5)/('Material properties'!$H$12*'Pushover Curve_2'!E28)))</f>
        <v>2.1491527575643614E-4</v>
      </c>
      <c r="G28" s="68">
        <f ca="1">IF(F28="","",IF(Max_shearforce_2!Q28="Flexure",0.0065,0.0043))</f>
        <v>6.4999999999999997E-3</v>
      </c>
      <c r="H28" s="69">
        <f t="shared" ca="1" si="1"/>
        <v>1.2999999999999999E-3</v>
      </c>
      <c r="I28" s="71">
        <f t="shared" ca="1" si="2"/>
        <v>1.3</v>
      </c>
      <c r="J28" s="69">
        <f t="shared" ca="1" si="3"/>
        <v>3.9699999999999999E-2</v>
      </c>
      <c r="K28" s="71">
        <f t="shared" ca="1" si="4"/>
        <v>39.699999999999996</v>
      </c>
      <c r="L28" s="53">
        <f ca="1">IF(J28="","",Max_shearforce_2!P28)</f>
        <v>19283.799049221958</v>
      </c>
      <c r="M28" s="71">
        <f t="shared" ca="1" si="5"/>
        <v>19.283799049221958</v>
      </c>
      <c r="N28" s="65">
        <v>28</v>
      </c>
      <c r="O28" s="78">
        <f t="shared" ca="1" si="6"/>
        <v>0</v>
      </c>
      <c r="P28" s="78">
        <f t="shared" ca="1" si="7"/>
        <v>19.283799049221958</v>
      </c>
      <c r="Q28" s="78">
        <f t="shared" ca="1" si="8"/>
        <v>19.283799049221958</v>
      </c>
      <c r="R28" s="78">
        <f t="shared" ca="1" si="9"/>
        <v>19.283799049221958</v>
      </c>
      <c r="S28" s="78">
        <f t="shared" ca="1" si="10"/>
        <v>19.283799049221958</v>
      </c>
      <c r="T28" s="78">
        <f t="shared" ca="1" si="11"/>
        <v>19.283799049221958</v>
      </c>
      <c r="U28" s="78">
        <f t="shared" ca="1" si="12"/>
        <v>19.283799049221958</v>
      </c>
      <c r="V28" s="78">
        <f t="shared" ca="1" si="13"/>
        <v>19.283799049221958</v>
      </c>
      <c r="W28" s="78">
        <f t="shared" ca="1" si="14"/>
        <v>19.283799049221958</v>
      </c>
      <c r="X28" s="78">
        <f t="shared" ca="1" si="15"/>
        <v>19.283799049221958</v>
      </c>
      <c r="Y28" s="78">
        <f t="shared" ca="1" si="16"/>
        <v>19.283799049221958</v>
      </c>
      <c r="Z28" s="78">
        <f t="shared" ca="1" si="17"/>
        <v>19.283799049221958</v>
      </c>
      <c r="AA28" s="78">
        <f t="shared" ca="1" si="18"/>
        <v>19.283799049221958</v>
      </c>
      <c r="AB28" s="78">
        <f t="shared" ca="1" si="19"/>
        <v>0</v>
      </c>
    </row>
    <row r="29" spans="1:28" x14ac:dyDescent="0.3">
      <c r="A29"/>
      <c r="B29"/>
      <c r="C29"/>
      <c r="D29" t="str">
        <f>IF(C29="","",_xlfn.XLOOKUP(B29,'Pier geometry_2'!A:A,'Pier geometry_2'!I:I)*_xlfn.XLOOKUP(B29,'Pier geometry_2'!A:A,'Pier geometry_2'!H:H)^3/12)</f>
        <v/>
      </c>
      <c r="E29" t="str">
        <f>IF(C29="","",_xlfn.XLOOKUP(B29,'Pier geometry_2'!A:A,'Pier geometry_2'!I:I)*_xlfn.XLOOKUP(B29,'Pier geometry_2'!A:A,'Pier geometry_2'!H:H))</f>
        <v/>
      </c>
      <c r="F29" t="str">
        <f>IF(E29="","",Max_shearforce_2!P29*((Max_shearforce_2!D29*(3*Max_shearforce_2!D29-Max_shearforce_2!D29))/(6*'Pushover Curve_2'!D29*'Material properties'!$H$11)+(6/5)/('Material properties'!$H$12*'Pushover Curve_2'!E29)))</f>
        <v/>
      </c>
      <c r="G29" t="str">
        <f>IF(F29="","",IF(Max_shearforce_2!Q29="Flexure",0.0065,0.0043))</f>
        <v/>
      </c>
      <c r="H29" t="str">
        <f t="shared" si="1"/>
        <v/>
      </c>
      <c r="I29" t="str">
        <f t="shared" si="2"/>
        <v/>
      </c>
      <c r="J29" t="str">
        <f t="shared" si="3"/>
        <v/>
      </c>
      <c r="K29" t="str">
        <f t="shared" si="4"/>
        <v/>
      </c>
      <c r="L29" t="str">
        <f>IF(J29="","",Max_shearforce_2!P29)</f>
        <v/>
      </c>
      <c r="M29" t="str">
        <f t="shared" si="5"/>
        <v/>
      </c>
      <c r="O29" s="78" t="str">
        <f t="shared" si="6"/>
        <v/>
      </c>
      <c r="P29" s="78" t="str">
        <f t="shared" si="7"/>
        <v/>
      </c>
      <c r="Q29" s="78" t="str">
        <f t="shared" si="8"/>
        <v/>
      </c>
      <c r="R29" s="78" t="str">
        <f t="shared" si="9"/>
        <v/>
      </c>
      <c r="S29" s="78" t="str">
        <f t="shared" si="10"/>
        <v/>
      </c>
      <c r="T29" s="78" t="str">
        <f t="shared" si="11"/>
        <v/>
      </c>
      <c r="U29" s="78" t="str">
        <f t="shared" si="12"/>
        <v/>
      </c>
      <c r="V29" s="78" t="str">
        <f t="shared" si="13"/>
        <v/>
      </c>
      <c r="W29" s="78" t="str">
        <f t="shared" si="14"/>
        <v/>
      </c>
      <c r="X29" s="78" t="str">
        <f t="shared" si="15"/>
        <v/>
      </c>
      <c r="Y29" s="78" t="str">
        <f t="shared" si="16"/>
        <v/>
      </c>
      <c r="Z29" s="78" t="str">
        <f t="shared" si="17"/>
        <v/>
      </c>
      <c r="AA29" s="78" t="str">
        <f t="shared" si="18"/>
        <v/>
      </c>
      <c r="AB29" s="78" t="str">
        <f t="shared" si="19"/>
        <v/>
      </c>
    </row>
    <row r="30" spans="1:28" x14ac:dyDescent="0.3">
      <c r="A30" s="37" t="s">
        <v>44</v>
      </c>
      <c r="B30"/>
      <c r="C30"/>
      <c r="D30" t="str">
        <f>IF(C30="","",_xlfn.XLOOKUP(B30,'Pier geometry_2'!A:A,'Pier geometry_2'!I:I)*_xlfn.XLOOKUP(B30,'Pier geometry_2'!A:A,'Pier geometry_2'!H:H)^3/12)</f>
        <v/>
      </c>
      <c r="E30" t="str">
        <f>IF(C30="","",_xlfn.XLOOKUP(B30,'Pier geometry_2'!A:A,'Pier geometry_2'!I:I)*_xlfn.XLOOKUP(B30,'Pier geometry_2'!A:A,'Pier geometry_2'!H:H))</f>
        <v/>
      </c>
      <c r="F30" t="str">
        <f>IF(E30="","",Max_shearforce_2!P30*((Max_shearforce_2!D30*(3*Max_shearforce_2!D30-Max_shearforce_2!D30))/(6*'Pushover Curve_2'!D30*'Material properties'!$H$11)+(6/5)/('Material properties'!$H$12*'Pushover Curve_2'!E30)))</f>
        <v/>
      </c>
      <c r="G30" t="str">
        <f>IF(F30="","",IF(Max_shearforce_2!Q30="Flexure",0.0065,0.0043))</f>
        <v/>
      </c>
      <c r="H30" t="str">
        <f t="shared" si="1"/>
        <v/>
      </c>
      <c r="I30" t="str">
        <f t="shared" si="2"/>
        <v/>
      </c>
      <c r="J30" t="str">
        <f t="shared" si="3"/>
        <v/>
      </c>
      <c r="K30" t="str">
        <f t="shared" si="4"/>
        <v/>
      </c>
      <c r="L30" t="str">
        <f>IF(J30="","",Max_shearforce_2!P30)</f>
        <v/>
      </c>
      <c r="M30" t="str">
        <f t="shared" si="5"/>
        <v/>
      </c>
      <c r="N30" s="37" t="s">
        <v>44</v>
      </c>
      <c r="O30" s="78" t="str">
        <f t="shared" si="6"/>
        <v/>
      </c>
      <c r="P30" s="78" t="str">
        <f t="shared" si="7"/>
        <v/>
      </c>
      <c r="Q30" s="78" t="str">
        <f t="shared" si="8"/>
        <v/>
      </c>
      <c r="R30" s="78" t="str">
        <f t="shared" si="9"/>
        <v/>
      </c>
      <c r="S30" s="78" t="str">
        <f t="shared" si="10"/>
        <v/>
      </c>
      <c r="T30" s="78" t="str">
        <f t="shared" si="11"/>
        <v/>
      </c>
      <c r="U30" s="78" t="str">
        <f t="shared" si="12"/>
        <v/>
      </c>
      <c r="V30" s="78" t="str">
        <f t="shared" si="13"/>
        <v/>
      </c>
      <c r="W30" s="78" t="str">
        <f t="shared" si="14"/>
        <v/>
      </c>
      <c r="X30" s="78" t="str">
        <f t="shared" si="15"/>
        <v/>
      </c>
      <c r="Y30" s="78" t="str">
        <f t="shared" si="16"/>
        <v/>
      </c>
      <c r="Z30" s="78" t="str">
        <f t="shared" si="17"/>
        <v/>
      </c>
      <c r="AA30" s="78" t="str">
        <f t="shared" si="18"/>
        <v/>
      </c>
      <c r="AB30" s="78" t="str">
        <f t="shared" si="19"/>
        <v/>
      </c>
    </row>
    <row r="31" spans="1:28" x14ac:dyDescent="0.3">
      <c r="A31" s="65">
        <v>31</v>
      </c>
      <c r="B31" s="65">
        <v>119</v>
      </c>
      <c r="C31" s="65">
        <v>118</v>
      </c>
      <c r="D31" s="54">
        <f>IF(C31="","",_xlfn.XLOOKUP(B31,'Pier geometry_2'!A:A,'Pier geometry_2'!I:I)*_xlfn.XLOOKUP(B31,'Pier geometry_2'!A:A,'Pier geometry_2'!H:H)^3/12)</f>
        <v>0.46305000000000002</v>
      </c>
      <c r="E31" s="54">
        <f>IF(C31="","",_xlfn.XLOOKUP(B31,'Pier geometry_2'!A:A,'Pier geometry_2'!I:I)*_xlfn.XLOOKUP(B31,'Pier geometry_2'!A:A,'Pier geometry_2'!H:H))</f>
        <v>1.26</v>
      </c>
      <c r="F31" s="67">
        <f ca="1">IF(E31="","",Max_shearforce_2!P31*((Max_shearforce_2!D31*(3*Max_shearforce_2!D31-Max_shearforce_2!D31))/(6*'Pushover Curve_2'!D31*'Material properties'!$H$11)+(6/5)/('Material properties'!$H$12*'Pushover Curve_2'!E31)))</f>
        <v>3.982544434507225E-4</v>
      </c>
      <c r="G31" s="68">
        <f ca="1">IF(F31="","",IF(Max_shearforce_2!Q31="Flexure",0.0065,0.0043))</f>
        <v>6.4999999999999997E-3</v>
      </c>
      <c r="H31" s="69">
        <f t="shared" ca="1" si="1"/>
        <v>2.3999999999999998E-3</v>
      </c>
      <c r="I31" s="71">
        <f t="shared" ca="1" si="2"/>
        <v>2.4</v>
      </c>
      <c r="J31" s="69">
        <f t="shared" ca="1" si="3"/>
        <v>3.9699999999999999E-2</v>
      </c>
      <c r="K31" s="71">
        <f t="shared" ca="1" si="4"/>
        <v>39.699999999999996</v>
      </c>
      <c r="L31" s="53">
        <f ca="1">IF(J31="","",Max_shearforce_2!P31)</f>
        <v>20233.621029400067</v>
      </c>
      <c r="M31" s="71">
        <f t="shared" ca="1" si="5"/>
        <v>20.233621029400066</v>
      </c>
      <c r="N31" s="65">
        <v>31</v>
      </c>
      <c r="O31" s="78">
        <f t="shared" ca="1" si="6"/>
        <v>0</v>
      </c>
      <c r="P31" s="78">
        <f t="shared" ca="1" si="7"/>
        <v>10.959878057591704</v>
      </c>
      <c r="Q31" s="78">
        <f t="shared" ca="1" si="8"/>
        <v>11.802945600483373</v>
      </c>
      <c r="R31" s="78">
        <f t="shared" ca="1" si="9"/>
        <v>14.332148229158381</v>
      </c>
      <c r="S31" s="78">
        <f t="shared" ca="1" si="10"/>
        <v>15.175215772050048</v>
      </c>
      <c r="T31" s="78">
        <f t="shared" ca="1" si="11"/>
        <v>16.018283314941719</v>
      </c>
      <c r="U31" s="78">
        <f t="shared" ca="1" si="12"/>
        <v>16.86135085783339</v>
      </c>
      <c r="V31" s="78">
        <f t="shared" ca="1" si="13"/>
        <v>20.233621029400066</v>
      </c>
      <c r="W31" s="78">
        <f t="shared" ca="1" si="14"/>
        <v>20.233621029400066</v>
      </c>
      <c r="X31" s="78">
        <f t="shared" ca="1" si="15"/>
        <v>20.233621029400066</v>
      </c>
      <c r="Y31" s="78">
        <f t="shared" ca="1" si="16"/>
        <v>20.233621029400066</v>
      </c>
      <c r="Z31" s="78">
        <f t="shared" ca="1" si="17"/>
        <v>20.233621029400066</v>
      </c>
      <c r="AA31" s="78">
        <f t="shared" ca="1" si="18"/>
        <v>20.233621029400066</v>
      </c>
      <c r="AB31" s="78">
        <f t="shared" ca="1" si="19"/>
        <v>0</v>
      </c>
    </row>
    <row r="32" spans="1:28" x14ac:dyDescent="0.3">
      <c r="A32"/>
      <c r="B32"/>
      <c r="C32"/>
      <c r="D32" t="str">
        <f>IF(C32="","",_xlfn.XLOOKUP(B32,'Pier geometry_2'!A:A,'Pier geometry_2'!I:I)*_xlfn.XLOOKUP(B32,'Pier geometry_2'!A:A,'Pier geometry_2'!H:H)^3/12)</f>
        <v/>
      </c>
      <c r="E32" t="str">
        <f>IF(C32="","",_xlfn.XLOOKUP(B32,'Pier geometry_2'!A:A,'Pier geometry_2'!I:I)*_xlfn.XLOOKUP(B32,'Pier geometry_2'!A:A,'Pier geometry_2'!H:H))</f>
        <v/>
      </c>
      <c r="F32" t="str">
        <f>IF(E32="","",Max_shearforce_2!P32*((Max_shearforce_2!D32*(3*Max_shearforce_2!D32-Max_shearforce_2!D32))/(6*'Pushover Curve_2'!D32*'Material properties'!$H$11)+(6/5)/('Material properties'!$H$12*'Pushover Curve_2'!E32)))</f>
        <v/>
      </c>
      <c r="G32" t="str">
        <f>IF(F32="","",IF(Max_shearforce_2!Q32="Flexure",0.0065,0.0043))</f>
        <v/>
      </c>
      <c r="H32" t="str">
        <f t="shared" si="1"/>
        <v/>
      </c>
      <c r="I32" t="str">
        <f t="shared" si="2"/>
        <v/>
      </c>
      <c r="J32" t="str">
        <f t="shared" si="3"/>
        <v/>
      </c>
      <c r="K32" t="str">
        <f t="shared" si="4"/>
        <v/>
      </c>
      <c r="L32" t="str">
        <f>IF(J32="","",Max_shearforce_2!P32)</f>
        <v/>
      </c>
      <c r="M32" t="str">
        <f t="shared" si="5"/>
        <v/>
      </c>
      <c r="O32" s="78" t="str">
        <f t="shared" si="6"/>
        <v/>
      </c>
      <c r="P32" s="78" t="str">
        <f t="shared" si="7"/>
        <v/>
      </c>
      <c r="Q32" s="78" t="str">
        <f t="shared" si="8"/>
        <v/>
      </c>
      <c r="R32" s="78" t="str">
        <f t="shared" si="9"/>
        <v/>
      </c>
      <c r="S32" s="78" t="str">
        <f t="shared" si="10"/>
        <v/>
      </c>
      <c r="T32" s="78" t="str">
        <f t="shared" si="11"/>
        <v/>
      </c>
      <c r="U32" s="78" t="str">
        <f t="shared" si="12"/>
        <v/>
      </c>
      <c r="V32" s="78" t="str">
        <f t="shared" si="13"/>
        <v/>
      </c>
      <c r="W32" s="78" t="str">
        <f t="shared" si="14"/>
        <v/>
      </c>
      <c r="X32" s="78" t="str">
        <f t="shared" si="15"/>
        <v/>
      </c>
      <c r="Y32" s="78" t="str">
        <f t="shared" si="16"/>
        <v/>
      </c>
      <c r="Z32" s="78" t="str">
        <f t="shared" si="17"/>
        <v/>
      </c>
      <c r="AA32" s="78" t="str">
        <f t="shared" si="18"/>
        <v/>
      </c>
      <c r="AB32" s="78" t="str">
        <f t="shared" si="19"/>
        <v/>
      </c>
    </row>
    <row r="33" spans="1:28" x14ac:dyDescent="0.3">
      <c r="A33" s="37" t="s">
        <v>45</v>
      </c>
      <c r="B33"/>
      <c r="C33"/>
      <c r="D33" t="str">
        <f>IF(C33="","",_xlfn.XLOOKUP(B33,'Pier geometry_2'!A:A,'Pier geometry_2'!I:I)*_xlfn.XLOOKUP(B33,'Pier geometry_2'!A:A,'Pier geometry_2'!H:H)^3/12)</f>
        <v/>
      </c>
      <c r="E33" t="str">
        <f>IF(C33="","",_xlfn.XLOOKUP(B33,'Pier geometry_2'!A:A,'Pier geometry_2'!I:I)*_xlfn.XLOOKUP(B33,'Pier geometry_2'!A:A,'Pier geometry_2'!H:H))</f>
        <v/>
      </c>
      <c r="F33" t="str">
        <f>IF(E33="","",Max_shearforce_2!P33*((Max_shearforce_2!D33*(3*Max_shearforce_2!D33-Max_shearforce_2!D33))/(6*'Pushover Curve_2'!D33*'Material properties'!$H$11)+(6/5)/('Material properties'!$H$12*'Pushover Curve_2'!E33)))</f>
        <v/>
      </c>
      <c r="G33" t="str">
        <f>IF(F33="","",IF(Max_shearforce_2!Q33="Flexure",0.0065,0.0043))</f>
        <v/>
      </c>
      <c r="H33" t="str">
        <f>IF(G33="","",ROUND(F33*6.1,4))</f>
        <v/>
      </c>
      <c r="I33" t="str">
        <f>IF(H33="","",H33*1000)</f>
        <v/>
      </c>
      <c r="J33" t="str">
        <f>IF(H33="","",ROUND(G33*6.1,4))</f>
        <v/>
      </c>
      <c r="K33" t="str">
        <f>IF(J33="","",J33*1000)</f>
        <v/>
      </c>
      <c r="L33" t="str">
        <f>IF(J33="","",Max_shearforce_2!P33)</f>
        <v/>
      </c>
      <c r="M33" t="str">
        <f>IF(L33="","",L33/1000)</f>
        <v/>
      </c>
      <c r="N33" s="37" t="s">
        <v>45</v>
      </c>
      <c r="O33" s="78" t="str">
        <f t="shared" si="6"/>
        <v/>
      </c>
      <c r="P33" s="78" t="str">
        <f t="shared" si="7"/>
        <v/>
      </c>
      <c r="Q33" s="78" t="str">
        <f t="shared" si="8"/>
        <v/>
      </c>
      <c r="R33" s="78" t="str">
        <f t="shared" si="9"/>
        <v/>
      </c>
      <c r="S33" s="78" t="str">
        <f t="shared" si="10"/>
        <v/>
      </c>
      <c r="T33" s="78" t="str">
        <f t="shared" si="11"/>
        <v/>
      </c>
      <c r="U33" s="78" t="str">
        <f t="shared" si="12"/>
        <v/>
      </c>
      <c r="V33" s="78" t="str">
        <f t="shared" si="13"/>
        <v/>
      </c>
      <c r="W33" s="78" t="str">
        <f t="shared" si="14"/>
        <v/>
      </c>
      <c r="X33" s="78" t="str">
        <f t="shared" si="15"/>
        <v/>
      </c>
      <c r="Y33" s="78" t="str">
        <f t="shared" si="16"/>
        <v/>
      </c>
      <c r="Z33" s="78" t="str">
        <f t="shared" si="17"/>
        <v/>
      </c>
      <c r="AA33" s="78" t="str">
        <f t="shared" si="18"/>
        <v/>
      </c>
      <c r="AB33" s="78" t="str">
        <f t="shared" si="19"/>
        <v/>
      </c>
    </row>
    <row r="34" spans="1:28" x14ac:dyDescent="0.3">
      <c r="A34" s="65">
        <v>32</v>
      </c>
      <c r="B34" s="65">
        <v>121</v>
      </c>
      <c r="C34" s="65">
        <v>120</v>
      </c>
      <c r="D34" s="54">
        <f>IF(C34="","",_xlfn.XLOOKUP(B34,'Pier geometry_2'!A:A,'Pier geometry_2'!I:I)*_xlfn.XLOOKUP(B34,'Pier geometry_2'!A:A,'Pier geometry_2'!H:H)^3/12)</f>
        <v>2.8533312500000001</v>
      </c>
      <c r="E34" s="54">
        <f>IF(C34="","",_xlfn.XLOOKUP(B34,'Pier geometry_2'!A:A,'Pier geometry_2'!I:I)*_xlfn.XLOOKUP(B34,'Pier geometry_2'!A:A,'Pier geometry_2'!H:H))</f>
        <v>2.31</v>
      </c>
      <c r="F34" s="67">
        <f ca="1">IF(E34="","",Max_shearforce_2!P34*((Max_shearforce_2!D34*(3*Max_shearforce_2!D34-Max_shearforce_2!D34))/(6*'Pushover Curve_2'!D34*'Material properties'!$H$11)+(6/5)/('Material properties'!$H$12*'Pushover Curve_2'!E34)))</f>
        <v>2.2897347523740823E-4</v>
      </c>
      <c r="G34" s="68">
        <f ca="1">IF(F34="","",IF(Max_shearforce_2!Q34="Flexure",0.0065,0.0043))</f>
        <v>6.4999999999999997E-3</v>
      </c>
      <c r="H34" s="69">
        <f t="shared" ref="H34" ca="1" si="20">IF(G34="","",ROUND(F34*6.1,4))</f>
        <v>1.4E-3</v>
      </c>
      <c r="I34" s="71">
        <f t="shared" ca="1" si="2"/>
        <v>1.4</v>
      </c>
      <c r="J34" s="69">
        <f t="shared" ref="J34" ca="1" si="21">IF(H34="","",ROUND(G34*6.1,4))</f>
        <v>3.9699999999999999E-2</v>
      </c>
      <c r="K34" s="71">
        <f t="shared" ca="1" si="4"/>
        <v>39.699999999999996</v>
      </c>
      <c r="L34" s="53">
        <f ca="1">IF(J34="","",Max_shearforce_2!P34)</f>
        <v>49200.323684160183</v>
      </c>
      <c r="M34" s="71">
        <f t="shared" ca="1" si="5"/>
        <v>49.200323684160182</v>
      </c>
      <c r="N34" s="65">
        <v>32</v>
      </c>
      <c r="O34" s="78">
        <f t="shared" ca="1" si="6"/>
        <v>0</v>
      </c>
      <c r="P34" s="78">
        <f t="shared" ca="1" si="7"/>
        <v>45.686014849577319</v>
      </c>
      <c r="Q34" s="78">
        <f t="shared" ca="1" si="8"/>
        <v>49.200323684160182</v>
      </c>
      <c r="R34" s="78">
        <f t="shared" ca="1" si="9"/>
        <v>49.200323684160182</v>
      </c>
      <c r="S34" s="78">
        <f t="shared" ca="1" si="10"/>
        <v>49.200323684160182</v>
      </c>
      <c r="T34" s="78">
        <f t="shared" ca="1" si="11"/>
        <v>49.200323684160182</v>
      </c>
      <c r="U34" s="78">
        <f t="shared" ca="1" si="12"/>
        <v>49.200323684160182</v>
      </c>
      <c r="V34" s="78">
        <f t="shared" ca="1" si="13"/>
        <v>49.200323684160182</v>
      </c>
      <c r="W34" s="78">
        <f t="shared" ca="1" si="14"/>
        <v>49.200323684160182</v>
      </c>
      <c r="X34" s="78">
        <f t="shared" ca="1" si="15"/>
        <v>49.200323684160182</v>
      </c>
      <c r="Y34" s="78">
        <f t="shared" ca="1" si="16"/>
        <v>49.200323684160182</v>
      </c>
      <c r="Z34" s="78">
        <f t="shared" ca="1" si="17"/>
        <v>49.200323684160182</v>
      </c>
      <c r="AA34" s="78">
        <f t="shared" ca="1" si="18"/>
        <v>49.200323684160182</v>
      </c>
      <c r="AB34" s="78">
        <f t="shared" ca="1" si="19"/>
        <v>0</v>
      </c>
    </row>
    <row r="35" spans="1:28" x14ac:dyDescent="0.3">
      <c r="F35" s="2"/>
      <c r="G35" s="2"/>
    </row>
    <row r="36" spans="1:28" x14ac:dyDescent="0.3">
      <c r="G36" s="2"/>
      <c r="N36" s="70" t="s">
        <v>137</v>
      </c>
      <c r="O36" s="65">
        <f ca="1">SUM(O10:O32)</f>
        <v>0</v>
      </c>
      <c r="P36" s="71">
        <f t="shared" ref="P36:AB36" ca="1" si="22">SUM(P10:P32)</f>
        <v>552.78014534391491</v>
      </c>
      <c r="Q36" s="65">
        <f t="shared" ca="1" si="22"/>
        <v>586.75815203283935</v>
      </c>
      <c r="R36" s="65">
        <f t="shared" ca="1" si="22"/>
        <v>688.69217209961266</v>
      </c>
      <c r="S36" s="65">
        <f t="shared" ca="1" si="22"/>
        <v>713.02473766206913</v>
      </c>
      <c r="T36" s="65">
        <f t="shared" ca="1" si="22"/>
        <v>734.75841594668611</v>
      </c>
      <c r="U36" s="65">
        <f t="shared" ca="1" si="22"/>
        <v>752.08705310703658</v>
      </c>
      <c r="V36" s="65">
        <f t="shared" ca="1" si="22"/>
        <v>756.81965766886617</v>
      </c>
      <c r="W36" s="65">
        <f t="shared" ca="1" si="22"/>
        <v>760.56057724208961</v>
      </c>
      <c r="X36" s="65">
        <f t="shared" ca="1" si="22"/>
        <v>761.29968514487689</v>
      </c>
      <c r="Y36" s="65">
        <f t="shared" ca="1" si="22"/>
        <v>762.96055662660012</v>
      </c>
      <c r="Z36" s="65">
        <f t="shared" ca="1" si="22"/>
        <v>762.96055662660012</v>
      </c>
      <c r="AA36" s="65">
        <f t="shared" ca="1" si="22"/>
        <v>601.14356760570183</v>
      </c>
      <c r="AB36" s="65">
        <f t="shared" ca="1" si="22"/>
        <v>0</v>
      </c>
    </row>
    <row r="37" spans="1:28" x14ac:dyDescent="0.3">
      <c r="G37" s="2"/>
      <c r="O37" s="65">
        <f ca="1">MIN(O8*404.32,MAX($O$36:$AB$36))</f>
        <v>0</v>
      </c>
      <c r="P37" s="71">
        <f t="shared" ref="P37:Z37" ca="1" si="23">MIN(P8*404.32,MAX($O$36:$AB$36))</f>
        <v>525.61599999999999</v>
      </c>
      <c r="Q37" s="65">
        <f t="shared" ca="1" si="23"/>
        <v>566.048</v>
      </c>
      <c r="R37" s="65">
        <f t="shared" ca="1" si="23"/>
        <v>687.34399999999994</v>
      </c>
      <c r="S37" s="65">
        <f t="shared" ca="1" si="23"/>
        <v>727.77599999999995</v>
      </c>
      <c r="T37" s="65">
        <f t="shared" ca="1" si="23"/>
        <v>762.96055662660012</v>
      </c>
      <c r="U37" s="65">
        <f t="shared" ca="1" si="23"/>
        <v>762.96055662660012</v>
      </c>
      <c r="V37" s="65">
        <f t="shared" ca="1" si="23"/>
        <v>762.96055662660012</v>
      </c>
      <c r="W37" s="65">
        <f t="shared" ca="1" si="23"/>
        <v>762.96055662660012</v>
      </c>
      <c r="X37" s="65">
        <f t="shared" ca="1" si="23"/>
        <v>762.96055662660012</v>
      </c>
      <c r="Y37" s="65">
        <f t="shared" ca="1" si="23"/>
        <v>762.96055662660012</v>
      </c>
      <c r="Z37" s="65">
        <f t="shared" ca="1" si="23"/>
        <v>762.96055662660012</v>
      </c>
      <c r="AA37" s="65">
        <v>0</v>
      </c>
      <c r="AB37" s="65">
        <v>0</v>
      </c>
    </row>
    <row r="38" spans="1:28" ht="14.5" thickBot="1" x14ac:dyDescent="0.35">
      <c r="G38" s="2"/>
    </row>
    <row r="39" spans="1:28" x14ac:dyDescent="0.3">
      <c r="G39" s="2"/>
      <c r="N39" s="87" t="s">
        <v>160</v>
      </c>
      <c r="O39" s="80"/>
      <c r="P39" s="81"/>
      <c r="Q39" s="80">
        <f>T8</f>
        <v>1.9</v>
      </c>
      <c r="R39" s="82" t="s">
        <v>161</v>
      </c>
    </row>
    <row r="40" spans="1:28" x14ac:dyDescent="0.3">
      <c r="G40" s="2"/>
      <c r="N40" s="88" t="s">
        <v>162</v>
      </c>
      <c r="O40" s="9"/>
      <c r="Q40" s="9">
        <f>Z8</f>
        <v>26.1</v>
      </c>
      <c r="R40" s="83" t="s">
        <v>161</v>
      </c>
    </row>
    <row r="41" spans="1:28" ht="14.5" thickBot="1" x14ac:dyDescent="0.35">
      <c r="G41" s="9"/>
      <c r="N41" s="89" t="s">
        <v>163</v>
      </c>
      <c r="O41" s="84"/>
      <c r="P41" s="85"/>
      <c r="Q41" s="84">
        <f ca="1">V37</f>
        <v>762.96055662660012</v>
      </c>
      <c r="R41" s="86" t="s">
        <v>164</v>
      </c>
    </row>
    <row r="42" spans="1:28" x14ac:dyDescent="0.3">
      <c r="G42" s="9"/>
      <c r="N42" s="9"/>
      <c r="O42" s="9"/>
    </row>
    <row r="43" spans="1:28" x14ac:dyDescent="0.3">
      <c r="G43" s="9"/>
      <c r="N43" s="9"/>
      <c r="O43" s="9"/>
    </row>
    <row r="44" spans="1:28" x14ac:dyDescent="0.3">
      <c r="G44" s="9"/>
      <c r="N44" s="9"/>
      <c r="O44" s="9"/>
    </row>
    <row r="45" spans="1:28" x14ac:dyDescent="0.3">
      <c r="G45" s="9"/>
      <c r="N45" s="9"/>
      <c r="O45" s="9"/>
    </row>
    <row r="46" spans="1:28" x14ac:dyDescent="0.3">
      <c r="G46" s="9"/>
      <c r="N46" s="9"/>
      <c r="O46" s="9"/>
    </row>
    <row r="47" spans="1:28" x14ac:dyDescent="0.3">
      <c r="G47" s="9"/>
      <c r="N47" s="9"/>
      <c r="O47" s="9"/>
    </row>
    <row r="48" spans="1:28" x14ac:dyDescent="0.3">
      <c r="G48" s="9"/>
      <c r="N48" s="9"/>
      <c r="O48" s="9"/>
    </row>
    <row r="49" spans="4:15" x14ac:dyDescent="0.3">
      <c r="G49" s="9"/>
      <c r="N49" s="9"/>
      <c r="O49" s="9"/>
    </row>
    <row r="50" spans="4:15" x14ac:dyDescent="0.3">
      <c r="G50" s="9"/>
      <c r="N50" s="9"/>
      <c r="O50" s="9"/>
    </row>
    <row r="51" spans="4:15" x14ac:dyDescent="0.3">
      <c r="G51" s="9"/>
      <c r="N51" s="9"/>
      <c r="O51" s="9"/>
    </row>
    <row r="52" spans="4:15" x14ac:dyDescent="0.3">
      <c r="G52" s="9"/>
      <c r="N52" s="9"/>
      <c r="O52" s="9"/>
    </row>
    <row r="53" spans="4:15" x14ac:dyDescent="0.3">
      <c r="N53" s="9"/>
      <c r="O53" s="9"/>
    </row>
    <row r="54" spans="4:15" x14ac:dyDescent="0.3">
      <c r="N54" s="9"/>
      <c r="O54" s="9"/>
    </row>
    <row r="55" spans="4:15" x14ac:dyDescent="0.3">
      <c r="N55" s="9"/>
      <c r="O55" s="9"/>
    </row>
    <row r="56" spans="4:15" x14ac:dyDescent="0.3">
      <c r="N56" s="9"/>
      <c r="O56" s="9"/>
    </row>
    <row r="57" spans="4:15" x14ac:dyDescent="0.3">
      <c r="N57" s="9"/>
      <c r="O57" s="9"/>
    </row>
    <row r="58" spans="4:15" x14ac:dyDescent="0.3">
      <c r="N58" s="9"/>
      <c r="O58" s="9"/>
    </row>
    <row r="59" spans="4:15" x14ac:dyDescent="0.3">
      <c r="N59" s="9"/>
      <c r="O59" s="9"/>
    </row>
    <row r="60" spans="4:15" x14ac:dyDescent="0.3">
      <c r="N60" s="9"/>
      <c r="O60" s="9"/>
    </row>
    <row r="61" spans="4:15" x14ac:dyDescent="0.3">
      <c r="N61" s="9"/>
      <c r="O61" s="9"/>
    </row>
    <row r="62" spans="4:15" x14ac:dyDescent="0.3">
      <c r="N62" s="9"/>
      <c r="O62" s="9"/>
    </row>
    <row r="63" spans="4:15" x14ac:dyDescent="0.3">
      <c r="D63"/>
      <c r="E63"/>
      <c r="N63" s="9"/>
      <c r="O63" s="9"/>
    </row>
    <row r="64" spans="4:15" x14ac:dyDescent="0.3"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4:15" x14ac:dyDescent="0.3">
      <c r="D65"/>
      <c r="E65"/>
      <c r="N65" s="9"/>
      <c r="O65" s="9"/>
    </row>
    <row r="66" spans="4:15" x14ac:dyDescent="0.3">
      <c r="N66" s="9"/>
      <c r="O66" s="9"/>
    </row>
    <row r="67" spans="4:15" x14ac:dyDescent="0.3">
      <c r="N67" s="9"/>
      <c r="O67" s="9"/>
    </row>
    <row r="68" spans="4:15" x14ac:dyDescent="0.3">
      <c r="N68" s="9"/>
      <c r="O68" s="9"/>
    </row>
    <row r="69" spans="4:15" x14ac:dyDescent="0.3">
      <c r="N69" s="9"/>
      <c r="O69" s="9"/>
    </row>
  </sheetData>
  <sortState xmlns:xlrd2="http://schemas.microsoft.com/office/spreadsheetml/2017/richdata2" ref="G41:G62">
    <sortCondition ref="G41:G62"/>
  </sortState>
  <mergeCells count="8">
    <mergeCell ref="B4:C4"/>
    <mergeCell ref="O4:P4"/>
    <mergeCell ref="AE4:AF4"/>
    <mergeCell ref="F6:G6"/>
    <mergeCell ref="H6:J6"/>
    <mergeCell ref="H7:I7"/>
    <mergeCell ref="J7:K7"/>
    <mergeCell ref="L7:M7"/>
  </mergeCells>
  <pageMargins left="0.7" right="0.7" top="0.78740157499999996" bottom="0.78740157499999996" header="0.3" footer="0.3"/>
  <pageSetup paperSize="9" scale="95" orientation="landscape" r:id="rId1"/>
  <headerFooter>
    <oddHeader>&amp;LMaster Thesis 2023/2024&amp;CSt. Lawrence Parish House,
Petrinja, Croatia&amp;R&amp;G</oddHeader>
    <oddFooter>&amp;L&amp;A&amp;CModel: Initial and Retrofitted State&amp;R&amp;P</oddFooter>
  </headerFooter>
  <colBreaks count="1" manualBreakCount="1">
    <brk id="13" max="1048575" man="1"/>
  </colBreaks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31FC7-7225-4BDE-AB4E-CF98769A3A70}">
  <sheetPr codeName="Tabelle8">
    <tabColor theme="2"/>
  </sheetPr>
  <dimension ref="A1:V61"/>
  <sheetViews>
    <sheetView workbookViewId="0"/>
  </sheetViews>
  <sheetFormatPr baseColWidth="10" defaultColWidth="10.6640625" defaultRowHeight="14" x14ac:dyDescent="0.3"/>
  <cols>
    <col min="1" max="1" width="16.83203125" customWidth="1"/>
    <col min="2" max="2" width="12.6640625" customWidth="1"/>
    <col min="3" max="8" width="11.25" customWidth="1"/>
    <col min="9" max="9" width="10.08203125" customWidth="1"/>
    <col min="10" max="11" width="6.75" bestFit="1" customWidth="1"/>
    <col min="12" max="13" width="7.25" bestFit="1" customWidth="1"/>
    <col min="14" max="15" width="7.58203125" bestFit="1" customWidth="1"/>
    <col min="16" max="16" width="7.5" bestFit="1" customWidth="1"/>
    <col min="17" max="17" width="8.1640625" bestFit="1" customWidth="1"/>
    <col min="18" max="19" width="9.75" bestFit="1" customWidth="1"/>
    <col min="20" max="20" width="10.25" bestFit="1" customWidth="1"/>
    <col min="21" max="21" width="13.9140625" customWidth="1"/>
    <col min="22" max="22" width="17" bestFit="1" customWidth="1"/>
  </cols>
  <sheetData>
    <row r="1" spans="1:22" ht="17" thickBot="1" x14ac:dyDescent="0.35">
      <c r="A1" s="13" t="s">
        <v>57</v>
      </c>
      <c r="B1" s="13"/>
      <c r="C1" s="13"/>
      <c r="D1" s="13"/>
      <c r="E1" s="13"/>
      <c r="F1" s="13"/>
      <c r="G1" s="13"/>
      <c r="H1" s="13"/>
      <c r="I1" s="13"/>
    </row>
    <row r="2" spans="1:22" ht="39" customHeight="1" thickTop="1" thickBot="1" x14ac:dyDescent="0.35">
      <c r="A2" s="7" t="s">
        <v>47</v>
      </c>
      <c r="B2" s="7" t="s">
        <v>4</v>
      </c>
      <c r="C2" s="7" t="s">
        <v>5</v>
      </c>
      <c r="D2" s="7" t="s">
        <v>51</v>
      </c>
      <c r="E2" s="7" t="s">
        <v>49</v>
      </c>
      <c r="F2" s="7" t="s">
        <v>52</v>
      </c>
      <c r="G2" s="7" t="s">
        <v>53</v>
      </c>
      <c r="H2" s="7" t="s">
        <v>6</v>
      </c>
      <c r="I2" s="7" t="s">
        <v>54</v>
      </c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22" x14ac:dyDescent="0.3">
      <c r="A3" t="s">
        <v>48</v>
      </c>
      <c r="K3" s="1"/>
      <c r="L3" s="10"/>
      <c r="M3" s="10"/>
      <c r="T3" s="10"/>
    </row>
    <row r="4" spans="1:22" x14ac:dyDescent="0.3">
      <c r="A4" s="10">
        <v>8</v>
      </c>
      <c r="B4" s="1">
        <v>0</v>
      </c>
      <c r="C4" s="1">
        <v>0</v>
      </c>
      <c r="D4" s="1">
        <v>1.0957030000000001</v>
      </c>
      <c r="E4" s="1">
        <v>1.0957030000000001</v>
      </c>
      <c r="F4" s="1" t="s">
        <v>56</v>
      </c>
      <c r="G4" s="1">
        <v>373.37385321100919</v>
      </c>
      <c r="H4" s="1">
        <v>409.10685108486246</v>
      </c>
      <c r="I4" s="10">
        <v>-4013.338209142501</v>
      </c>
      <c r="K4" s="1"/>
      <c r="L4" s="10"/>
      <c r="M4" s="10"/>
    </row>
    <row r="5" spans="1:22" x14ac:dyDescent="0.3">
      <c r="A5" s="10">
        <v>9</v>
      </c>
      <c r="B5" s="1">
        <v>3.4</v>
      </c>
      <c r="C5" s="1">
        <v>0.95</v>
      </c>
      <c r="D5" s="1"/>
      <c r="E5" s="1">
        <v>3.23</v>
      </c>
      <c r="F5" s="1" t="s">
        <v>56</v>
      </c>
      <c r="G5" s="1">
        <v>373.37385321100919</v>
      </c>
      <c r="H5" s="1">
        <v>1205.9975458715596</v>
      </c>
      <c r="I5" s="10">
        <v>-11830.835925000001</v>
      </c>
      <c r="K5" s="1"/>
      <c r="L5" s="10"/>
      <c r="M5" s="10"/>
    </row>
    <row r="6" spans="1:22" x14ac:dyDescent="0.3">
      <c r="A6" s="10">
        <v>11</v>
      </c>
      <c r="B6" s="1">
        <v>2.6</v>
      </c>
      <c r="C6" s="1">
        <v>0.75</v>
      </c>
      <c r="D6" s="1">
        <v>0.796875</v>
      </c>
      <c r="E6" s="1">
        <v>2.7468750000000002</v>
      </c>
      <c r="F6" s="1" t="s">
        <v>56</v>
      </c>
      <c r="G6" s="1">
        <v>373.37385321100919</v>
      </c>
      <c r="H6" s="1">
        <v>1025.6113030389909</v>
      </c>
      <c r="I6" s="10">
        <v>-10061.2468828125</v>
      </c>
      <c r="K6" s="1"/>
      <c r="L6" s="10"/>
      <c r="M6" s="10"/>
    </row>
    <row r="7" spans="1:22" x14ac:dyDescent="0.3">
      <c r="A7" s="10">
        <v>12</v>
      </c>
      <c r="B7" s="1">
        <v>2.6</v>
      </c>
      <c r="C7" s="1">
        <v>0.75</v>
      </c>
      <c r="D7" s="1"/>
      <c r="E7" s="1">
        <v>1.9500000000000002</v>
      </c>
      <c r="F7" s="1" t="s">
        <v>56</v>
      </c>
      <c r="G7" s="1">
        <v>373.37385321100919</v>
      </c>
      <c r="H7" s="1">
        <v>728.07901376146799</v>
      </c>
      <c r="I7" s="10">
        <v>-7142.4551250000013</v>
      </c>
      <c r="K7" s="1"/>
      <c r="L7" s="10"/>
      <c r="M7" s="10"/>
    </row>
    <row r="8" spans="1:22" x14ac:dyDescent="0.3">
      <c r="A8" s="10">
        <v>22</v>
      </c>
      <c r="B8" s="1">
        <v>2.6</v>
      </c>
      <c r="C8" s="1">
        <v>2.1</v>
      </c>
      <c r="D8" s="1"/>
      <c r="E8" s="1">
        <v>5.4600000000000009</v>
      </c>
      <c r="F8" s="1" t="s">
        <v>56</v>
      </c>
      <c r="G8" s="1">
        <v>373.37385321100919</v>
      </c>
      <c r="H8" s="1">
        <v>2038.6212385321105</v>
      </c>
      <c r="I8" s="10">
        <v>-19998.874350000006</v>
      </c>
      <c r="K8" s="1"/>
      <c r="L8" s="10"/>
      <c r="M8" s="10"/>
    </row>
    <row r="9" spans="1:22" x14ac:dyDescent="0.3">
      <c r="A9" s="10">
        <v>23</v>
      </c>
      <c r="B9" s="1">
        <v>2.6</v>
      </c>
      <c r="C9" s="1">
        <v>2.1</v>
      </c>
      <c r="D9" s="1"/>
      <c r="E9" s="1">
        <v>5.4600000000000009</v>
      </c>
      <c r="F9" s="1" t="s">
        <v>56</v>
      </c>
      <c r="G9" s="1">
        <v>373.37385321100919</v>
      </c>
      <c r="H9" s="1">
        <v>2038.6212385321105</v>
      </c>
      <c r="I9" s="10">
        <v>-19998.874350000006</v>
      </c>
      <c r="K9" s="1"/>
      <c r="L9" s="10"/>
      <c r="M9" s="10"/>
    </row>
    <row r="10" spans="1:22" x14ac:dyDescent="0.3">
      <c r="A10" s="10">
        <v>32</v>
      </c>
      <c r="B10" s="1">
        <v>3.85</v>
      </c>
      <c r="C10" s="1">
        <v>2.8</v>
      </c>
      <c r="D10" s="1"/>
      <c r="E10" s="1">
        <v>10.78</v>
      </c>
      <c r="F10" s="1" t="s">
        <v>56</v>
      </c>
      <c r="G10" s="1">
        <v>373.37385321100919</v>
      </c>
      <c r="H10" s="1">
        <v>4024.9701376146791</v>
      </c>
      <c r="I10" s="10">
        <v>-39484.957050000005</v>
      </c>
      <c r="K10" s="1"/>
      <c r="L10" s="10"/>
      <c r="M10" s="10"/>
    </row>
    <row r="11" spans="1:22" x14ac:dyDescent="0.3">
      <c r="A11" s="10">
        <v>33</v>
      </c>
      <c r="B11" s="1">
        <v>3.4</v>
      </c>
      <c r="C11" s="1">
        <v>2.8</v>
      </c>
      <c r="D11" s="1"/>
      <c r="E11" s="1">
        <v>9.52</v>
      </c>
      <c r="F11" s="1" t="s">
        <v>56</v>
      </c>
      <c r="G11" s="1">
        <v>373.37385321100919</v>
      </c>
      <c r="H11" s="1">
        <v>3554.5190825688073</v>
      </c>
      <c r="I11" s="10">
        <v>-34869.832200000004</v>
      </c>
      <c r="K11" s="1"/>
      <c r="L11" s="10"/>
      <c r="M11" s="10"/>
    </row>
    <row r="12" spans="1:22" x14ac:dyDescent="0.3">
      <c r="A12" s="10">
        <v>34</v>
      </c>
      <c r="B12" s="1">
        <v>4.75</v>
      </c>
      <c r="C12" s="1">
        <v>2.8</v>
      </c>
      <c r="D12" s="1"/>
      <c r="E12" s="1">
        <v>13.299999999999999</v>
      </c>
      <c r="F12" s="1" t="s">
        <v>56</v>
      </c>
      <c r="G12" s="1">
        <v>373.37385321100919</v>
      </c>
      <c r="H12" s="1">
        <v>4965.8722477064221</v>
      </c>
      <c r="I12" s="10">
        <v>-48715.206750000005</v>
      </c>
      <c r="K12" s="1"/>
      <c r="L12" s="10"/>
      <c r="M12" s="10"/>
      <c r="P12" s="1"/>
    </row>
    <row r="13" spans="1:22" x14ac:dyDescent="0.3">
      <c r="A13" s="10">
        <v>35</v>
      </c>
      <c r="B13" s="1">
        <v>2.6</v>
      </c>
      <c r="C13" s="1">
        <v>2.8</v>
      </c>
      <c r="D13" s="1"/>
      <c r="E13" s="1">
        <v>7.2799999999999994</v>
      </c>
      <c r="F13" s="1" t="s">
        <v>56</v>
      </c>
      <c r="G13" s="1">
        <v>373.37385321100919</v>
      </c>
      <c r="H13" s="1">
        <v>2718.1616513761469</v>
      </c>
      <c r="I13" s="10">
        <v>-26665.165800000002</v>
      </c>
      <c r="K13" s="1"/>
      <c r="L13" s="10"/>
      <c r="M13" s="10"/>
    </row>
    <row r="14" spans="1:22" x14ac:dyDescent="0.3">
      <c r="A14" s="10">
        <v>41</v>
      </c>
      <c r="B14" s="1">
        <v>2.6</v>
      </c>
      <c r="C14" s="1">
        <v>2.85</v>
      </c>
      <c r="D14" s="1"/>
      <c r="E14" s="1">
        <v>7.41</v>
      </c>
      <c r="F14" s="1" t="s">
        <v>56</v>
      </c>
      <c r="G14" s="1">
        <v>373.37385321100919</v>
      </c>
      <c r="H14" s="1">
        <v>2766.7002522935782</v>
      </c>
      <c r="I14" s="10">
        <v>-27141.329475000002</v>
      </c>
      <c r="K14" s="1"/>
      <c r="L14" s="10"/>
      <c r="M14" s="10"/>
    </row>
    <row r="15" spans="1:22" x14ac:dyDescent="0.3">
      <c r="A15" s="10">
        <v>46</v>
      </c>
      <c r="B15" s="1">
        <v>4.75</v>
      </c>
      <c r="C15" s="1">
        <v>2.8</v>
      </c>
      <c r="D15" s="1">
        <v>1.3983049999999999</v>
      </c>
      <c r="E15" s="1">
        <v>14.698305</v>
      </c>
      <c r="F15" s="1" t="s">
        <v>56</v>
      </c>
      <c r="G15" s="1">
        <v>373.37385321100919</v>
      </c>
      <c r="H15" s="1">
        <v>5487.9627735206423</v>
      </c>
      <c r="I15" s="10">
        <v>-53836.914808237503</v>
      </c>
      <c r="K15" s="1"/>
      <c r="L15" s="10"/>
      <c r="M15" s="10"/>
    </row>
    <row r="16" spans="1:22" x14ac:dyDescent="0.3">
      <c r="A16" s="10">
        <v>47</v>
      </c>
      <c r="B16" s="1">
        <v>3.4</v>
      </c>
      <c r="C16" s="1">
        <v>2.8</v>
      </c>
      <c r="D16" s="1"/>
      <c r="E16" s="1">
        <v>9.52</v>
      </c>
      <c r="F16" s="1" t="s">
        <v>56</v>
      </c>
      <c r="G16" s="1">
        <v>373.37385321100919</v>
      </c>
      <c r="H16" s="1">
        <v>3554.5190825688073</v>
      </c>
      <c r="I16" s="10">
        <v>-34869.832200000004</v>
      </c>
      <c r="K16" s="1"/>
      <c r="L16" s="10"/>
      <c r="M16" s="10"/>
      <c r="T16" s="10"/>
    </row>
    <row r="17" spans="1:16" x14ac:dyDescent="0.3">
      <c r="A17" s="10">
        <v>48</v>
      </c>
      <c r="B17" s="1">
        <v>3.85</v>
      </c>
      <c r="C17" s="1">
        <v>2.8</v>
      </c>
      <c r="D17" s="1"/>
      <c r="E17" s="1">
        <v>10.78</v>
      </c>
      <c r="F17" s="1" t="s">
        <v>56</v>
      </c>
      <c r="G17" s="1">
        <v>373.37385321100919</v>
      </c>
      <c r="H17" s="1">
        <v>4024.9701376146791</v>
      </c>
      <c r="I17" s="10">
        <v>-39484.957050000005</v>
      </c>
      <c r="K17" s="1"/>
      <c r="L17" s="10"/>
      <c r="M17" s="10"/>
    </row>
    <row r="18" spans="1:16" x14ac:dyDescent="0.3">
      <c r="A18" s="10">
        <v>53</v>
      </c>
      <c r="B18" s="1">
        <v>3.85</v>
      </c>
      <c r="C18" s="1">
        <v>2.1</v>
      </c>
      <c r="D18" s="1">
        <v>0.734375</v>
      </c>
      <c r="E18" s="1">
        <v>8.8193750000000009</v>
      </c>
      <c r="F18" s="1" t="s">
        <v>56</v>
      </c>
      <c r="G18" s="1">
        <v>373.37385321100919</v>
      </c>
      <c r="H18" s="1">
        <v>3292.9240266628444</v>
      </c>
      <c r="I18" s="10">
        <v>-32303.584701562504</v>
      </c>
      <c r="K18" s="1"/>
      <c r="L18" s="10"/>
      <c r="M18" s="10"/>
    </row>
    <row r="19" spans="1:16" x14ac:dyDescent="0.3">
      <c r="A19" s="10">
        <v>56</v>
      </c>
      <c r="B19" s="1">
        <v>1.05</v>
      </c>
      <c r="C19" s="1">
        <v>3.9</v>
      </c>
      <c r="D19" s="1">
        <v>1.019531</v>
      </c>
      <c r="E19" s="1">
        <v>5.1145309999999995</v>
      </c>
      <c r="F19" s="1" t="s">
        <v>56</v>
      </c>
      <c r="G19" s="1">
        <v>373.37385321100919</v>
      </c>
      <c r="H19" s="1">
        <v>1909.6321468371559</v>
      </c>
      <c r="I19" s="10">
        <v>-18733.491360472501</v>
      </c>
      <c r="K19" s="1"/>
      <c r="L19" s="10"/>
      <c r="M19" s="10"/>
    </row>
    <row r="20" spans="1:16" x14ac:dyDescent="0.3">
      <c r="A20" s="10">
        <v>62</v>
      </c>
      <c r="B20" s="1">
        <v>2.6</v>
      </c>
      <c r="C20" s="1">
        <v>2.85</v>
      </c>
      <c r="D20" s="1"/>
      <c r="E20" s="1">
        <v>7.41</v>
      </c>
      <c r="F20" s="1" t="s">
        <v>56</v>
      </c>
      <c r="G20" s="1">
        <v>373.37385321100919</v>
      </c>
      <c r="H20" s="1">
        <v>2766.7002522935782</v>
      </c>
      <c r="I20" s="10">
        <v>-27141.329475000002</v>
      </c>
      <c r="K20" s="1"/>
      <c r="L20" s="10"/>
      <c r="M20" s="10"/>
    </row>
    <row r="21" spans="1:16" x14ac:dyDescent="0.3">
      <c r="A21" s="10">
        <v>63</v>
      </c>
      <c r="B21" s="1">
        <v>2.6</v>
      </c>
      <c r="C21" s="1">
        <v>2.85</v>
      </c>
      <c r="D21" s="1">
        <v>2.5752950000000001</v>
      </c>
      <c r="E21" s="1">
        <v>9.9852950000000007</v>
      </c>
      <c r="F21" s="1" t="s">
        <v>56</v>
      </c>
      <c r="G21" s="1">
        <v>373.37385321100919</v>
      </c>
      <c r="H21" s="1">
        <v>3728.2480695986242</v>
      </c>
      <c r="I21" s="10">
        <v>-36574.113562762504</v>
      </c>
      <c r="K21" s="1"/>
      <c r="L21" s="10"/>
      <c r="M21" s="10"/>
    </row>
    <row r="22" spans="1:16" x14ac:dyDescent="0.3">
      <c r="A22" s="10">
        <v>64</v>
      </c>
      <c r="B22" s="1">
        <v>0</v>
      </c>
      <c r="C22" s="1">
        <v>0</v>
      </c>
      <c r="D22" s="1">
        <v>0.58593700000000004</v>
      </c>
      <c r="E22" s="1">
        <v>0.58593700000000004</v>
      </c>
      <c r="F22" s="1" t="s">
        <v>56</v>
      </c>
      <c r="G22" s="1">
        <v>373.37385321100919</v>
      </c>
      <c r="H22" s="1">
        <v>218.7735554288991</v>
      </c>
      <c r="I22" s="10">
        <v>-2146.1685787575002</v>
      </c>
      <c r="K22" s="1"/>
      <c r="L22" s="10"/>
      <c r="M22" s="10"/>
    </row>
    <row r="23" spans="1:16" x14ac:dyDescent="0.3">
      <c r="A23" s="10">
        <v>73</v>
      </c>
      <c r="B23" s="1">
        <v>2.6</v>
      </c>
      <c r="C23" s="1">
        <v>0.75</v>
      </c>
      <c r="D23" s="1"/>
      <c r="E23" s="1">
        <v>1.9500000000000002</v>
      </c>
      <c r="F23" s="1" t="s">
        <v>56</v>
      </c>
      <c r="G23" s="1">
        <v>373.37385321100919</v>
      </c>
      <c r="H23" s="1">
        <v>728.07901376146799</v>
      </c>
      <c r="I23" s="10">
        <v>-7142.4551250000013</v>
      </c>
      <c r="K23" s="1"/>
      <c r="L23" s="10"/>
      <c r="M23" s="10"/>
    </row>
    <row r="24" spans="1:16" x14ac:dyDescent="0.3">
      <c r="A24" s="10">
        <v>74</v>
      </c>
      <c r="B24" s="1">
        <v>2.6</v>
      </c>
      <c r="C24" s="1">
        <v>2.8</v>
      </c>
      <c r="D24" s="1"/>
      <c r="E24" s="1">
        <v>7.2799999999999994</v>
      </c>
      <c r="F24" s="1" t="s">
        <v>56</v>
      </c>
      <c r="G24" s="1">
        <v>373.37385321100919</v>
      </c>
      <c r="H24" s="1">
        <v>2718.1616513761469</v>
      </c>
      <c r="I24" s="10">
        <v>-26665.165800000002</v>
      </c>
      <c r="K24" s="1"/>
      <c r="L24" s="10"/>
      <c r="M24" s="10"/>
    </row>
    <row r="25" spans="1:16" x14ac:dyDescent="0.3">
      <c r="A25" s="10">
        <v>75</v>
      </c>
      <c r="B25" s="1">
        <v>2.6</v>
      </c>
      <c r="C25" s="1">
        <v>2.8</v>
      </c>
      <c r="D25" s="1"/>
      <c r="E25" s="1">
        <v>7.2799999999999994</v>
      </c>
      <c r="F25" s="1" t="s">
        <v>56</v>
      </c>
      <c r="G25" s="1">
        <v>373.37385321100919</v>
      </c>
      <c r="H25" s="1">
        <v>2718.1616513761469</v>
      </c>
      <c r="I25" s="10">
        <v>-26665.165800000002</v>
      </c>
      <c r="K25" s="1"/>
      <c r="L25" s="10"/>
      <c r="M25" s="10"/>
    </row>
    <row r="26" spans="1:16" x14ac:dyDescent="0.3">
      <c r="A26" s="10">
        <v>89</v>
      </c>
      <c r="B26" s="1">
        <v>2.6</v>
      </c>
      <c r="C26" s="1">
        <v>2.8</v>
      </c>
      <c r="D26" s="1"/>
      <c r="E26" s="1">
        <v>7.2799999999999994</v>
      </c>
      <c r="F26" s="1" t="s">
        <v>56</v>
      </c>
      <c r="G26" s="1">
        <v>373.37385321100919</v>
      </c>
      <c r="H26" s="1">
        <v>2718.1616513761469</v>
      </c>
      <c r="I26" s="10">
        <v>-26665.165800000002</v>
      </c>
      <c r="K26" s="1"/>
      <c r="L26" s="10"/>
      <c r="M26" s="10"/>
      <c r="P26" s="1"/>
    </row>
    <row r="27" spans="1:16" x14ac:dyDescent="0.3">
      <c r="A27" s="10">
        <v>94</v>
      </c>
      <c r="B27" s="1">
        <v>2.6</v>
      </c>
      <c r="C27" s="1">
        <v>2.85</v>
      </c>
      <c r="D27" s="1">
        <v>2.5752950000000001</v>
      </c>
      <c r="E27" s="1">
        <v>9.9852950000000007</v>
      </c>
      <c r="F27" s="1" t="s">
        <v>56</v>
      </c>
      <c r="G27" s="1">
        <v>373.37385321100919</v>
      </c>
      <c r="H27" s="1">
        <v>3728.2480695986242</v>
      </c>
      <c r="I27" s="10">
        <v>-36574.113562762504</v>
      </c>
      <c r="K27" s="1"/>
      <c r="L27" s="10"/>
      <c r="M27" s="10"/>
    </row>
    <row r="28" spans="1:16" x14ac:dyDescent="0.3">
      <c r="A28" s="10">
        <v>95</v>
      </c>
      <c r="B28" s="1">
        <v>1.25</v>
      </c>
      <c r="C28" s="1">
        <v>4.8</v>
      </c>
      <c r="D28" s="1">
        <v>1.019531</v>
      </c>
      <c r="E28" s="1">
        <v>7.0195309999999997</v>
      </c>
      <c r="F28" s="1" t="s">
        <v>56</v>
      </c>
      <c r="G28" s="1">
        <v>373.37385321100919</v>
      </c>
      <c r="H28" s="1">
        <v>2620.9093372041284</v>
      </c>
      <c r="I28" s="10">
        <v>-25711.120597972502</v>
      </c>
      <c r="K28" s="1"/>
      <c r="L28" s="10"/>
      <c r="M28" s="10"/>
    </row>
    <row r="29" spans="1:16" x14ac:dyDescent="0.3">
      <c r="A29" s="10">
        <v>96</v>
      </c>
      <c r="B29" s="1">
        <v>3.85</v>
      </c>
      <c r="C29" s="1">
        <v>2.1</v>
      </c>
      <c r="D29" s="1"/>
      <c r="E29" s="1">
        <v>8.0850000000000009</v>
      </c>
      <c r="F29" s="1" t="s">
        <v>56</v>
      </c>
      <c r="G29" s="1">
        <v>373.37385321100919</v>
      </c>
      <c r="H29" s="1">
        <v>3018.7276032110094</v>
      </c>
      <c r="I29" s="10">
        <v>-29613.717787500005</v>
      </c>
      <c r="K29" s="1"/>
      <c r="L29" s="10"/>
      <c r="M29" s="10"/>
    </row>
    <row r="30" spans="1:16" x14ac:dyDescent="0.3">
      <c r="A30" s="10">
        <v>101</v>
      </c>
      <c r="B30" s="1">
        <v>2.6</v>
      </c>
      <c r="C30" s="1">
        <v>0.75</v>
      </c>
      <c r="D30" s="1"/>
      <c r="E30" s="1">
        <v>1.9500000000000002</v>
      </c>
      <c r="F30" s="1" t="s">
        <v>56</v>
      </c>
      <c r="G30" s="1">
        <v>373.37385321100919</v>
      </c>
      <c r="H30" s="1">
        <v>728.07901376146799</v>
      </c>
      <c r="I30" s="10">
        <v>-7142.4551250000013</v>
      </c>
      <c r="K30" s="1"/>
      <c r="L30" s="10"/>
      <c r="M30" s="10"/>
    </row>
    <row r="31" spans="1:16" x14ac:dyDescent="0.3">
      <c r="G31" s="1"/>
      <c r="H31" s="1"/>
      <c r="I31" s="10"/>
      <c r="K31" s="1"/>
      <c r="L31" s="10"/>
      <c r="M31" s="10"/>
    </row>
    <row r="32" spans="1:16" x14ac:dyDescent="0.3">
      <c r="A32" t="s">
        <v>50</v>
      </c>
      <c r="G32" s="1"/>
      <c r="H32" s="1"/>
      <c r="I32" s="10"/>
    </row>
    <row r="33" spans="1:9" x14ac:dyDescent="0.3">
      <c r="A33">
        <v>1</v>
      </c>
      <c r="B33" s="1">
        <v>2.6</v>
      </c>
      <c r="C33" s="1">
        <v>2.85</v>
      </c>
      <c r="E33" s="1">
        <v>7.41</v>
      </c>
      <c r="F33" s="1" t="s">
        <v>55</v>
      </c>
      <c r="G33" s="1">
        <v>328.23649337410802</v>
      </c>
      <c r="H33" s="1">
        <v>2432.2324159021405</v>
      </c>
      <c r="I33" s="10">
        <v>-23860.2</v>
      </c>
    </row>
    <row r="34" spans="1:9" x14ac:dyDescent="0.3">
      <c r="A34">
        <v>2</v>
      </c>
      <c r="B34" s="1">
        <v>2.6</v>
      </c>
      <c r="C34" s="1">
        <v>2.85</v>
      </c>
      <c r="E34" s="1">
        <v>7.41</v>
      </c>
      <c r="F34" s="1" t="s">
        <v>55</v>
      </c>
      <c r="G34" s="1">
        <v>328.23649337410802</v>
      </c>
      <c r="H34" s="1">
        <v>2432.2324159021405</v>
      </c>
      <c r="I34" s="10">
        <v>-23860.2</v>
      </c>
    </row>
    <row r="35" spans="1:9" x14ac:dyDescent="0.3">
      <c r="A35">
        <v>3</v>
      </c>
      <c r="B35" s="1">
        <v>1.25</v>
      </c>
      <c r="C35" s="1">
        <v>2.85</v>
      </c>
      <c r="D35" s="9">
        <v>2.4375</v>
      </c>
      <c r="E35" s="1">
        <v>6</v>
      </c>
      <c r="F35" s="1" t="s">
        <v>55</v>
      </c>
      <c r="G35" s="1">
        <v>328.23649337410802</v>
      </c>
      <c r="H35" s="1">
        <v>1969.4189602446481</v>
      </c>
      <c r="I35" s="10">
        <v>-19320</v>
      </c>
    </row>
    <row r="36" spans="1:9" x14ac:dyDescent="0.3">
      <c r="A36">
        <v>5</v>
      </c>
      <c r="B36" s="1">
        <v>1.25</v>
      </c>
      <c r="C36" s="1">
        <v>2.85</v>
      </c>
      <c r="D36" s="9">
        <v>1.9500000000000002</v>
      </c>
      <c r="E36" s="1">
        <v>5.5125000000000002</v>
      </c>
      <c r="F36" s="1" t="s">
        <v>55</v>
      </c>
      <c r="G36" s="1">
        <v>328.23649337410802</v>
      </c>
      <c r="H36" s="1">
        <v>1809.4036697247705</v>
      </c>
      <c r="I36" s="10">
        <v>-17750.25</v>
      </c>
    </row>
    <row r="37" spans="1:9" x14ac:dyDescent="0.3">
      <c r="A37">
        <v>6</v>
      </c>
      <c r="B37" s="1">
        <v>2.6</v>
      </c>
      <c r="C37">
        <v>0.75</v>
      </c>
      <c r="E37" s="1">
        <v>1.9500000000000002</v>
      </c>
      <c r="F37" s="1" t="s">
        <v>55</v>
      </c>
      <c r="G37" s="1">
        <v>328.23649337410802</v>
      </c>
      <c r="H37" s="1">
        <v>640.06116207951072</v>
      </c>
      <c r="I37" s="10">
        <v>-6279.0000000000009</v>
      </c>
    </row>
    <row r="38" spans="1:9" x14ac:dyDescent="0.3">
      <c r="A38">
        <v>28</v>
      </c>
      <c r="B38" s="1">
        <v>3.85</v>
      </c>
      <c r="C38" s="1">
        <v>2.8</v>
      </c>
      <c r="E38" s="1">
        <v>10.78</v>
      </c>
      <c r="F38" s="1" t="s">
        <v>55</v>
      </c>
      <c r="G38" s="1">
        <v>328.23649337410802</v>
      </c>
      <c r="H38" s="1">
        <v>3538.3893985728841</v>
      </c>
      <c r="I38" s="10">
        <v>-34711.599999999999</v>
      </c>
    </row>
    <row r="39" spans="1:9" x14ac:dyDescent="0.3">
      <c r="A39">
        <v>29</v>
      </c>
      <c r="B39" s="1">
        <v>3.4</v>
      </c>
      <c r="C39" s="1">
        <v>2.8</v>
      </c>
      <c r="E39" s="1">
        <v>9.52</v>
      </c>
      <c r="F39" s="1" t="s">
        <v>55</v>
      </c>
      <c r="G39" s="1">
        <v>328.23649337410802</v>
      </c>
      <c r="H39" s="1">
        <v>3124.8114169215082</v>
      </c>
      <c r="I39" s="10">
        <v>-30654.399999999998</v>
      </c>
    </row>
    <row r="40" spans="1:9" x14ac:dyDescent="0.3">
      <c r="A40">
        <v>30</v>
      </c>
      <c r="B40" s="1">
        <v>4.75</v>
      </c>
      <c r="C40" s="1">
        <v>2.8</v>
      </c>
      <c r="E40" s="1">
        <v>13.299999999999999</v>
      </c>
      <c r="F40" s="1" t="s">
        <v>55</v>
      </c>
      <c r="G40" s="1">
        <v>328.23649337410802</v>
      </c>
      <c r="H40" s="1">
        <v>4365.5453618756364</v>
      </c>
      <c r="I40" s="10">
        <v>-42825.999999999993</v>
      </c>
    </row>
    <row r="41" spans="1:9" x14ac:dyDescent="0.3">
      <c r="A41">
        <v>31</v>
      </c>
      <c r="B41" s="1">
        <v>2.6</v>
      </c>
      <c r="C41" s="1">
        <v>2.8</v>
      </c>
      <c r="E41" s="1">
        <v>7.2799999999999994</v>
      </c>
      <c r="F41" s="1" t="s">
        <v>55</v>
      </c>
      <c r="G41" s="1">
        <v>328.23649337410802</v>
      </c>
      <c r="H41" s="1">
        <v>2389.5616717635062</v>
      </c>
      <c r="I41" s="10">
        <v>-23441.599999999999</v>
      </c>
    </row>
    <row r="42" spans="1:9" x14ac:dyDescent="0.3">
      <c r="A42">
        <v>43</v>
      </c>
      <c r="B42" s="1">
        <v>4.75</v>
      </c>
      <c r="C42" s="1">
        <v>2.8</v>
      </c>
      <c r="E42" s="1">
        <v>13.299999999999999</v>
      </c>
      <c r="F42" s="1" t="s">
        <v>55</v>
      </c>
      <c r="G42" s="1">
        <v>328.23649337410802</v>
      </c>
      <c r="H42" s="1">
        <v>4365.5453618756364</v>
      </c>
      <c r="I42" s="10">
        <v>-42825.999999999993</v>
      </c>
    </row>
    <row r="43" spans="1:9" x14ac:dyDescent="0.3">
      <c r="A43">
        <v>44</v>
      </c>
      <c r="B43" s="1">
        <v>3.4</v>
      </c>
      <c r="C43" s="1">
        <v>2.8</v>
      </c>
      <c r="D43" s="1">
        <v>6</v>
      </c>
      <c r="E43" s="1">
        <v>15.52</v>
      </c>
      <c r="F43" s="1" t="s">
        <v>55</v>
      </c>
      <c r="G43" s="1">
        <v>328.23649337410802</v>
      </c>
      <c r="H43" s="1">
        <v>5094.2303771661564</v>
      </c>
      <c r="I43" s="10">
        <v>-49974.399999999994</v>
      </c>
    </row>
    <row r="44" spans="1:9" x14ac:dyDescent="0.3">
      <c r="A44">
        <v>45</v>
      </c>
      <c r="B44" s="1">
        <v>3.85</v>
      </c>
      <c r="C44" s="1">
        <v>4.9000000000000004</v>
      </c>
      <c r="D44" s="1">
        <v>5.5125000000000002</v>
      </c>
      <c r="E44" s="1">
        <v>24.377500000000001</v>
      </c>
      <c r="F44" s="1" t="s">
        <v>55</v>
      </c>
      <c r="G44" s="1">
        <v>328.23649337410802</v>
      </c>
      <c r="H44" s="1">
        <v>8001.5851172273187</v>
      </c>
      <c r="I44" s="10">
        <v>-78495.55</v>
      </c>
    </row>
    <row r="45" spans="1:9" x14ac:dyDescent="0.3">
      <c r="A45">
        <v>55</v>
      </c>
      <c r="B45" s="1">
        <v>1.1000000000000001</v>
      </c>
      <c r="C45" s="1">
        <v>3.85</v>
      </c>
      <c r="D45" s="1">
        <v>2.0425</v>
      </c>
      <c r="E45" s="1">
        <v>6.2774999999999999</v>
      </c>
      <c r="F45" s="1" t="s">
        <v>56</v>
      </c>
      <c r="G45" s="1">
        <v>373.37385321100919</v>
      </c>
      <c r="H45" s="1">
        <v>2343.8543635321103</v>
      </c>
      <c r="I45" s="10">
        <v>-22993.211306250003</v>
      </c>
    </row>
    <row r="46" spans="1:9" x14ac:dyDescent="0.3">
      <c r="A46">
        <v>59</v>
      </c>
      <c r="B46" s="1">
        <v>1.05</v>
      </c>
      <c r="C46" s="1">
        <v>0.95</v>
      </c>
      <c r="D46" s="1"/>
      <c r="E46" s="1">
        <v>0.99749999999999994</v>
      </c>
      <c r="F46" s="1" t="s">
        <v>55</v>
      </c>
      <c r="G46" s="1">
        <v>328.23649337410802</v>
      </c>
      <c r="H46" s="1">
        <v>327.41590214067276</v>
      </c>
      <c r="I46" s="10">
        <v>-3211.95</v>
      </c>
    </row>
    <row r="47" spans="1:9" x14ac:dyDescent="0.3">
      <c r="A47">
        <v>70</v>
      </c>
      <c r="B47" s="1">
        <v>2.6</v>
      </c>
      <c r="C47" s="1">
        <v>2.85</v>
      </c>
      <c r="E47" s="1">
        <v>7.41</v>
      </c>
      <c r="F47" s="1" t="s">
        <v>55</v>
      </c>
      <c r="G47" s="1">
        <v>328.23649337410802</v>
      </c>
      <c r="H47" s="1">
        <v>2432.2324159021405</v>
      </c>
      <c r="I47" s="10">
        <v>-23860.2</v>
      </c>
    </row>
    <row r="48" spans="1:9" x14ac:dyDescent="0.3">
      <c r="A48">
        <v>71</v>
      </c>
      <c r="B48" s="1">
        <v>2.6</v>
      </c>
      <c r="C48" s="1">
        <v>4.9000000000000004</v>
      </c>
      <c r="E48" s="1">
        <v>12.740000000000002</v>
      </c>
      <c r="F48" s="1" t="s">
        <v>55</v>
      </c>
      <c r="G48" s="1">
        <v>328.23649337410802</v>
      </c>
      <c r="H48" s="1">
        <v>4181.7329255861368</v>
      </c>
      <c r="I48" s="10">
        <v>-41022.800000000003</v>
      </c>
    </row>
    <row r="49" spans="1:9" x14ac:dyDescent="0.3">
      <c r="A49">
        <v>72</v>
      </c>
      <c r="B49" s="1">
        <v>2.6</v>
      </c>
      <c r="C49" s="1">
        <v>2.8</v>
      </c>
      <c r="E49" s="1">
        <v>7.2799999999999994</v>
      </c>
      <c r="F49" s="1" t="s">
        <v>55</v>
      </c>
      <c r="G49" s="1">
        <v>328.23649337410802</v>
      </c>
      <c r="H49" s="1">
        <v>2389.5616717635062</v>
      </c>
      <c r="I49" s="10">
        <v>-23441.599999999999</v>
      </c>
    </row>
    <row r="50" spans="1:9" x14ac:dyDescent="0.3">
      <c r="A50">
        <v>88</v>
      </c>
      <c r="B50">
        <v>2.6</v>
      </c>
      <c r="C50">
        <v>5.7</v>
      </c>
      <c r="E50" s="1">
        <v>14.82</v>
      </c>
      <c r="F50" s="1" t="s">
        <v>55</v>
      </c>
      <c r="G50" s="1">
        <v>328.23649337410802</v>
      </c>
      <c r="H50" s="1">
        <v>4864.4648318042809</v>
      </c>
      <c r="I50" s="10">
        <v>-47720.4</v>
      </c>
    </row>
    <row r="51" spans="1:9" x14ac:dyDescent="0.3">
      <c r="A51">
        <v>92</v>
      </c>
      <c r="B51" s="1">
        <v>1.1000000000000001</v>
      </c>
      <c r="C51" s="1">
        <v>3.85</v>
      </c>
      <c r="E51" s="1">
        <v>4.2350000000000003</v>
      </c>
      <c r="F51" s="1" t="s">
        <v>56</v>
      </c>
      <c r="G51" s="1">
        <v>373.37385321100919</v>
      </c>
      <c r="H51" s="1">
        <v>1581.2382683486239</v>
      </c>
      <c r="I51" s="10">
        <v>-15511.947412500002</v>
      </c>
    </row>
    <row r="52" spans="1:9" x14ac:dyDescent="0.3">
      <c r="A52">
        <v>100</v>
      </c>
      <c r="B52" s="1">
        <v>2.6</v>
      </c>
      <c r="C52" s="1">
        <v>2.85</v>
      </c>
      <c r="E52" s="1">
        <v>7.41</v>
      </c>
      <c r="F52" s="1" t="s">
        <v>55</v>
      </c>
      <c r="G52" s="1">
        <v>328.23649337410802</v>
      </c>
      <c r="H52" s="1">
        <v>2432.2324159021405</v>
      </c>
      <c r="I52" s="10">
        <v>-23860.2</v>
      </c>
    </row>
    <row r="53" spans="1:9" x14ac:dyDescent="0.3">
      <c r="E53" s="8"/>
    </row>
    <row r="54" spans="1:9" x14ac:dyDescent="0.3">
      <c r="E54" s="8"/>
      <c r="H54" s="10"/>
    </row>
    <row r="55" spans="1:9" x14ac:dyDescent="0.3">
      <c r="E55" s="8"/>
      <c r="F55" s="8"/>
      <c r="H55" s="10"/>
    </row>
    <row r="56" spans="1:9" x14ac:dyDescent="0.3">
      <c r="E56" s="8"/>
      <c r="H56" s="10"/>
    </row>
    <row r="57" spans="1:9" x14ac:dyDescent="0.3">
      <c r="E57" s="8"/>
      <c r="H57" s="12"/>
    </row>
    <row r="58" spans="1:9" x14ac:dyDescent="0.3">
      <c r="E58" s="8"/>
    </row>
    <row r="59" spans="1:9" x14ac:dyDescent="0.3">
      <c r="E59" s="8"/>
    </row>
    <row r="60" spans="1:9" x14ac:dyDescent="0.3">
      <c r="E60" s="8"/>
    </row>
    <row r="61" spans="1:9" x14ac:dyDescent="0.3">
      <c r="E61" s="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354F-AD48-43C9-A94F-6A83E2190331}">
  <sheetPr codeName="Tabelle9">
    <tabColor theme="2"/>
  </sheetPr>
  <dimension ref="A1:S56"/>
  <sheetViews>
    <sheetView workbookViewId="0"/>
  </sheetViews>
  <sheetFormatPr baseColWidth="10" defaultColWidth="10.6640625" defaultRowHeight="14" x14ac:dyDescent="0.3"/>
  <cols>
    <col min="1" max="4" width="11.25" customWidth="1"/>
    <col min="5" max="5" width="10.08203125" customWidth="1"/>
    <col min="6" max="7" width="6.75" bestFit="1" customWidth="1"/>
    <col min="8" max="9" width="7.25" bestFit="1" customWidth="1"/>
    <col min="10" max="11" width="7.58203125" bestFit="1" customWidth="1"/>
    <col min="12" max="12" width="7.5" bestFit="1" customWidth="1"/>
    <col min="13" max="13" width="8.1640625" bestFit="1" customWidth="1"/>
    <col min="14" max="15" width="9.75" bestFit="1" customWidth="1"/>
    <col min="16" max="16" width="10.25" bestFit="1" customWidth="1"/>
    <col min="17" max="17" width="13.9140625" customWidth="1"/>
    <col min="18" max="18" width="17" bestFit="1" customWidth="1"/>
  </cols>
  <sheetData>
    <row r="1" spans="1:19" x14ac:dyDescent="0.3">
      <c r="A1" t="s">
        <v>58</v>
      </c>
    </row>
    <row r="2" spans="1:19" ht="39" customHeight="1" thickBot="1" x14ac:dyDescent="0.35">
      <c r="A2" s="7" t="s">
        <v>47</v>
      </c>
      <c r="B2" s="7" t="s">
        <v>6</v>
      </c>
      <c r="C2" s="7" t="s">
        <v>54</v>
      </c>
      <c r="D2" s="7"/>
      <c r="E2" s="7"/>
      <c r="F2" s="7"/>
      <c r="G2" s="7"/>
      <c r="H2" s="7"/>
      <c r="I2" s="7"/>
      <c r="J2" s="7"/>
      <c r="K2" s="7"/>
      <c r="L2" s="7"/>
    </row>
    <row r="3" spans="1:19" x14ac:dyDescent="0.3">
      <c r="A3">
        <v>1</v>
      </c>
      <c r="B3" s="9">
        <v>709.67584097859321</v>
      </c>
      <c r="C3" s="10">
        <v>-6961.92</v>
      </c>
      <c r="J3" s="1"/>
      <c r="K3" s="10"/>
      <c r="L3" s="10"/>
      <c r="S3" s="10"/>
    </row>
    <row r="4" spans="1:19" x14ac:dyDescent="0.3">
      <c r="A4">
        <v>2</v>
      </c>
      <c r="B4" s="9">
        <v>2350.9724770642206</v>
      </c>
      <c r="C4" s="10">
        <v>-23063.040000000005</v>
      </c>
      <c r="J4" s="1"/>
      <c r="K4" s="10"/>
      <c r="L4" s="10"/>
    </row>
    <row r="5" spans="1:19" x14ac:dyDescent="0.3">
      <c r="A5">
        <v>3</v>
      </c>
      <c r="B5" s="9">
        <v>1863.2415902140674</v>
      </c>
      <c r="C5" s="10">
        <v>-18278.400000000001</v>
      </c>
      <c r="J5" s="1"/>
      <c r="K5" s="10"/>
      <c r="L5" s="10"/>
    </row>
    <row r="6" spans="1:19" x14ac:dyDescent="0.3">
      <c r="A6">
        <v>5</v>
      </c>
      <c r="B6" s="9">
        <v>2348.2324159021405</v>
      </c>
      <c r="C6" s="10">
        <v>-23036.16</v>
      </c>
      <c r="J6" s="1"/>
      <c r="K6" s="10"/>
      <c r="L6" s="10"/>
    </row>
    <row r="7" spans="1:19" x14ac:dyDescent="0.3">
      <c r="A7">
        <v>6</v>
      </c>
      <c r="B7" s="9">
        <v>708.30581039755327</v>
      </c>
      <c r="C7" s="10">
        <v>-6948.4799999999977</v>
      </c>
      <c r="J7" s="1"/>
      <c r="K7" s="10"/>
      <c r="L7" s="10"/>
    </row>
    <row r="8" spans="1:19" x14ac:dyDescent="0.3">
      <c r="A8">
        <v>61</v>
      </c>
      <c r="B8" s="9">
        <v>194.64220183486242</v>
      </c>
      <c r="C8" s="10">
        <v>-1909.4400000000005</v>
      </c>
      <c r="J8" s="1"/>
      <c r="K8" s="10"/>
      <c r="L8" s="10"/>
    </row>
    <row r="9" spans="1:19" x14ac:dyDescent="0.3">
      <c r="A9">
        <v>19</v>
      </c>
      <c r="B9" s="9">
        <v>1457.9082568807344</v>
      </c>
      <c r="C9" s="10">
        <v>-14302.080000000005</v>
      </c>
      <c r="J9" s="1"/>
      <c r="K9" s="10"/>
      <c r="L9" s="10"/>
    </row>
    <row r="10" spans="1:19" x14ac:dyDescent="0.3">
      <c r="A10">
        <v>20</v>
      </c>
      <c r="B10" s="9">
        <v>2498.5443425076455</v>
      </c>
      <c r="C10" s="10">
        <v>-24510.720000000005</v>
      </c>
      <c r="J10" s="1"/>
      <c r="K10" s="10"/>
      <c r="L10" s="10"/>
    </row>
    <row r="11" spans="1:19" x14ac:dyDescent="0.3">
      <c r="A11">
        <v>21</v>
      </c>
      <c r="B11" s="9">
        <v>714.96024464831805</v>
      </c>
      <c r="C11" s="10">
        <v>-7013.76</v>
      </c>
      <c r="J11" s="1"/>
      <c r="K11" s="10"/>
      <c r="L11" s="10"/>
      <c r="O11" s="1"/>
    </row>
    <row r="12" spans="1:19" x14ac:dyDescent="0.3">
      <c r="A12">
        <v>31</v>
      </c>
      <c r="B12" s="9">
        <v>709.67584097859321</v>
      </c>
      <c r="C12" s="10">
        <v>-6961.92</v>
      </c>
      <c r="J12" s="1"/>
      <c r="K12" s="10"/>
      <c r="L12" s="10"/>
    </row>
    <row r="13" spans="1:19" x14ac:dyDescent="0.3">
      <c r="A13">
        <v>30</v>
      </c>
      <c r="B13" s="9">
        <v>2597.5779816513764</v>
      </c>
      <c r="C13" s="10">
        <v>-25482.240000000005</v>
      </c>
      <c r="J13" s="1"/>
      <c r="K13" s="10"/>
      <c r="L13" s="10"/>
    </row>
    <row r="14" spans="1:19" x14ac:dyDescent="0.3">
      <c r="A14">
        <v>29</v>
      </c>
      <c r="B14" s="9">
        <v>1863.2415902140674</v>
      </c>
      <c r="C14" s="10">
        <v>-18278.400000000001</v>
      </c>
      <c r="J14" s="1"/>
      <c r="K14" s="10"/>
      <c r="L14" s="10"/>
      <c r="S14" s="10"/>
    </row>
    <row r="15" spans="1:19" x14ac:dyDescent="0.3">
      <c r="A15">
        <v>28</v>
      </c>
      <c r="B15" s="9">
        <v>2101.6269113149842</v>
      </c>
      <c r="C15" s="10">
        <v>-20616.959999999995</v>
      </c>
      <c r="J15" s="1"/>
      <c r="K15" s="10"/>
      <c r="L15" s="10"/>
    </row>
    <row r="16" spans="1:19" x14ac:dyDescent="0.3">
      <c r="A16">
        <v>72</v>
      </c>
      <c r="B16" s="9">
        <v>708.30581039755327</v>
      </c>
      <c r="C16" s="10">
        <v>-6948.4799999999977</v>
      </c>
      <c r="J16" s="1"/>
      <c r="K16" s="10"/>
      <c r="L16" s="10"/>
    </row>
    <row r="17" spans="1:15" x14ac:dyDescent="0.3">
      <c r="A17">
        <v>58</v>
      </c>
      <c r="B17" s="9">
        <v>1101.459321828396</v>
      </c>
      <c r="C17" s="10">
        <v>-10805.315947136565</v>
      </c>
      <c r="J17" s="1"/>
      <c r="K17" s="10"/>
      <c r="L17" s="10"/>
    </row>
    <row r="18" spans="1:15" x14ac:dyDescent="0.3">
      <c r="A18">
        <v>40</v>
      </c>
      <c r="B18" s="9">
        <v>4363.5474006116201</v>
      </c>
      <c r="C18" s="10">
        <v>-42806.399999999994</v>
      </c>
      <c r="J18" s="1"/>
      <c r="K18" s="10"/>
      <c r="L18" s="10"/>
    </row>
    <row r="19" spans="1:15" x14ac:dyDescent="0.3">
      <c r="A19">
        <v>81</v>
      </c>
      <c r="B19" s="9">
        <v>1080.3143784774143</v>
      </c>
      <c r="C19" s="10">
        <v>-10597.884052863434</v>
      </c>
      <c r="J19" s="1"/>
      <c r="K19" s="10"/>
      <c r="L19" s="10"/>
    </row>
    <row r="20" spans="1:15" x14ac:dyDescent="0.3">
      <c r="A20">
        <v>43</v>
      </c>
      <c r="B20" s="9">
        <v>3288.0733944954122</v>
      </c>
      <c r="C20" s="10">
        <v>-32255.999999999996</v>
      </c>
      <c r="J20" s="1"/>
      <c r="K20" s="10"/>
      <c r="L20" s="10"/>
    </row>
    <row r="21" spans="1:15" x14ac:dyDescent="0.3">
      <c r="A21">
        <v>45</v>
      </c>
      <c r="B21" s="9">
        <v>3288.0733944954122</v>
      </c>
      <c r="C21" s="10">
        <v>-32255.999999999996</v>
      </c>
      <c r="J21" s="1"/>
      <c r="K21" s="10"/>
      <c r="L21" s="10"/>
      <c r="O21" s="1"/>
    </row>
    <row r="22" spans="1:15" x14ac:dyDescent="0.3">
      <c r="A22">
        <v>91</v>
      </c>
      <c r="B22" s="9">
        <v>3288.0733944954122</v>
      </c>
      <c r="C22" s="10">
        <v>-32255.999999999996</v>
      </c>
      <c r="J22" s="1"/>
      <c r="K22" s="10"/>
      <c r="L22" s="10"/>
    </row>
    <row r="23" spans="1:15" x14ac:dyDescent="0.3">
      <c r="A23">
        <v>93</v>
      </c>
      <c r="B23" s="9">
        <v>3288.0733944954122</v>
      </c>
      <c r="C23" s="10">
        <v>-32255.999999999996</v>
      </c>
      <c r="J23" s="1"/>
      <c r="K23" s="10"/>
      <c r="L23" s="10"/>
    </row>
    <row r="24" spans="1:15" x14ac:dyDescent="0.3">
      <c r="A24" s="10"/>
      <c r="B24" s="1"/>
      <c r="C24" s="9"/>
      <c r="J24" s="1"/>
      <c r="K24" s="10"/>
      <c r="L24" s="10"/>
    </row>
    <row r="25" spans="1:15" x14ac:dyDescent="0.3">
      <c r="A25" t="s">
        <v>60</v>
      </c>
      <c r="C25" s="10">
        <v>-397545.60000000003</v>
      </c>
      <c r="D25" t="s">
        <v>35</v>
      </c>
      <c r="J25" s="1"/>
      <c r="K25" s="10"/>
      <c r="L25" s="10"/>
    </row>
    <row r="26" spans="1:15" x14ac:dyDescent="0.3">
      <c r="A26" s="1"/>
      <c r="C26" s="10"/>
      <c r="J26" s="1"/>
      <c r="K26" s="10"/>
      <c r="L26" s="10"/>
    </row>
    <row r="27" spans="1:15" x14ac:dyDescent="0.3">
      <c r="C27" s="10"/>
    </row>
    <row r="28" spans="1:15" x14ac:dyDescent="0.3">
      <c r="C28" s="28"/>
    </row>
    <row r="29" spans="1:15" x14ac:dyDescent="0.3">
      <c r="B29" s="1"/>
      <c r="C29" s="9"/>
    </row>
    <row r="30" spans="1:15" x14ac:dyDescent="0.3">
      <c r="B30" s="1"/>
      <c r="C30" s="9"/>
    </row>
    <row r="31" spans="1:15" x14ac:dyDescent="0.3">
      <c r="B31" s="1"/>
      <c r="C31" s="9"/>
      <c r="D31" t="s">
        <v>46</v>
      </c>
    </row>
    <row r="32" spans="1:15" x14ac:dyDescent="0.3">
      <c r="B32" s="1"/>
      <c r="C32" s="9"/>
    </row>
    <row r="33" spans="1:3" x14ac:dyDescent="0.3">
      <c r="B33" s="1"/>
      <c r="C33" s="9"/>
    </row>
    <row r="34" spans="1:3" x14ac:dyDescent="0.3">
      <c r="B34" s="1"/>
      <c r="C34" s="9"/>
    </row>
    <row r="35" spans="1:3" x14ac:dyDescent="0.3">
      <c r="B35" s="1"/>
      <c r="C35" s="9"/>
    </row>
    <row r="36" spans="1:3" x14ac:dyDescent="0.3">
      <c r="B36" s="1"/>
      <c r="C36" s="9"/>
    </row>
    <row r="37" spans="1:3" x14ac:dyDescent="0.3">
      <c r="B37" s="1"/>
      <c r="C37" s="9"/>
    </row>
    <row r="38" spans="1:3" x14ac:dyDescent="0.3">
      <c r="B38" s="1"/>
      <c r="C38" s="9"/>
    </row>
    <row r="39" spans="1:3" x14ac:dyDescent="0.3">
      <c r="B39" s="1"/>
      <c r="C39" s="9"/>
    </row>
    <row r="40" spans="1:3" x14ac:dyDescent="0.3">
      <c r="B40" s="1"/>
      <c r="C40" s="9"/>
    </row>
    <row r="41" spans="1:3" x14ac:dyDescent="0.3">
      <c r="B41" s="1"/>
      <c r="C41" s="9"/>
    </row>
    <row r="42" spans="1:3" x14ac:dyDescent="0.3">
      <c r="B42" s="1"/>
      <c r="C42" s="9"/>
    </row>
    <row r="43" spans="1:3" x14ac:dyDescent="0.3">
      <c r="B43" s="1"/>
      <c r="C43" s="9"/>
    </row>
    <row r="44" spans="1:3" x14ac:dyDescent="0.3">
      <c r="B44" s="1"/>
      <c r="C44" s="9"/>
    </row>
    <row r="45" spans="1:3" x14ac:dyDescent="0.3">
      <c r="B45" s="1"/>
      <c r="C45" s="9"/>
    </row>
    <row r="46" spans="1:3" x14ac:dyDescent="0.3">
      <c r="B46" s="1"/>
      <c r="C46" s="9"/>
    </row>
    <row r="47" spans="1:3" x14ac:dyDescent="0.3">
      <c r="B47" s="1"/>
      <c r="C47" s="9"/>
    </row>
    <row r="48" spans="1:3" x14ac:dyDescent="0.3">
      <c r="A48" s="4"/>
    </row>
    <row r="49" spans="1:1" x14ac:dyDescent="0.3">
      <c r="A49" s="4"/>
    </row>
    <row r="50" spans="1:1" x14ac:dyDescent="0.3">
      <c r="A50" s="4"/>
    </row>
    <row r="51" spans="1:1" x14ac:dyDescent="0.3">
      <c r="A51" s="4"/>
    </row>
    <row r="52" spans="1:1" x14ac:dyDescent="0.3">
      <c r="A52" s="4"/>
    </row>
    <row r="53" spans="1:1" x14ac:dyDescent="0.3">
      <c r="A53" s="4"/>
    </row>
    <row r="54" spans="1:1" x14ac:dyDescent="0.3">
      <c r="A54" s="4"/>
    </row>
    <row r="55" spans="1:1" x14ac:dyDescent="0.3">
      <c r="A55" s="4"/>
    </row>
    <row r="56" spans="1:1" x14ac:dyDescent="0.3">
      <c r="A56" s="4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F19E-A05F-4F18-9F6F-78610C31A65F}">
  <sheetPr codeName="Tabelle10">
    <tabColor theme="2"/>
  </sheetPr>
  <dimension ref="A1:N27"/>
  <sheetViews>
    <sheetView workbookViewId="0"/>
  </sheetViews>
  <sheetFormatPr baseColWidth="10" defaultColWidth="10.6640625" defaultRowHeight="14" x14ac:dyDescent="0.3"/>
  <cols>
    <col min="1" max="1" width="8.33203125" customWidth="1"/>
    <col min="2" max="3" width="10.08203125" customWidth="1"/>
    <col min="4" max="4" width="7.25" bestFit="1" customWidth="1"/>
    <col min="5" max="6" width="7.58203125" bestFit="1" customWidth="1"/>
    <col min="7" max="7" width="7.5" bestFit="1" customWidth="1"/>
    <col min="8" max="8" width="8.1640625" bestFit="1" customWidth="1"/>
    <col min="9" max="10" width="9.75" bestFit="1" customWidth="1"/>
    <col min="11" max="11" width="10.25" bestFit="1" customWidth="1"/>
    <col min="12" max="12" width="13.9140625" customWidth="1"/>
    <col min="13" max="13" width="17" bestFit="1" customWidth="1"/>
  </cols>
  <sheetData>
    <row r="1" spans="1:14" x14ac:dyDescent="0.3">
      <c r="A1" t="s">
        <v>59</v>
      </c>
    </row>
    <row r="2" spans="1:14" ht="28.5" thickBot="1" x14ac:dyDescent="0.35">
      <c r="A2" s="7" t="s">
        <v>47</v>
      </c>
      <c r="B2" s="7" t="s">
        <v>6</v>
      </c>
      <c r="C2" s="7" t="s">
        <v>54</v>
      </c>
      <c r="D2" s="7"/>
      <c r="E2" s="7" t="s">
        <v>61</v>
      </c>
      <c r="F2" s="7"/>
      <c r="G2" s="7"/>
    </row>
    <row r="3" spans="1:14" x14ac:dyDescent="0.3">
      <c r="A3">
        <v>8</v>
      </c>
      <c r="B3">
        <v>1397.6624573819061</v>
      </c>
      <c r="C3">
        <v>-13711.0687069165</v>
      </c>
      <c r="E3" s="1"/>
      <c r="F3" s="10"/>
      <c r="G3" s="10"/>
      <c r="N3" s="10"/>
    </row>
    <row r="4" spans="1:14" x14ac:dyDescent="0.3">
      <c r="A4">
        <v>11</v>
      </c>
      <c r="B4">
        <v>966.76597392461122</v>
      </c>
      <c r="C4">
        <v>-9483.9742042004364</v>
      </c>
      <c r="E4" s="1" t="s">
        <v>47</v>
      </c>
      <c r="F4" s="10" t="s">
        <v>6</v>
      </c>
      <c r="G4" s="10" t="s">
        <v>54</v>
      </c>
      <c r="H4" t="s">
        <v>62</v>
      </c>
    </row>
    <row r="5" spans="1:14" x14ac:dyDescent="0.3">
      <c r="A5">
        <v>12</v>
      </c>
      <c r="B5">
        <v>370.01597392461127</v>
      </c>
      <c r="C5">
        <v>-3629.856704200437</v>
      </c>
      <c r="E5" s="1">
        <v>302</v>
      </c>
      <c r="F5" s="10">
        <v>0</v>
      </c>
      <c r="G5" s="10">
        <v>0</v>
      </c>
      <c r="H5">
        <v>94</v>
      </c>
    </row>
    <row r="6" spans="1:14" ht="14" customHeight="1" x14ac:dyDescent="0.3">
      <c r="A6">
        <v>22</v>
      </c>
      <c r="B6">
        <v>2850.5516847441313</v>
      </c>
      <c r="C6">
        <v>-27963.912027339931</v>
      </c>
      <c r="E6" s="1">
        <v>303</v>
      </c>
      <c r="F6" s="10">
        <v>394.20547954282512</v>
      </c>
      <c r="G6" s="10">
        <v>-3867.1557543151148</v>
      </c>
      <c r="H6">
        <v>95</v>
      </c>
    </row>
    <row r="7" spans="1:14" x14ac:dyDescent="0.3">
      <c r="A7">
        <v>23</v>
      </c>
      <c r="B7">
        <v>2850.5516847441313</v>
      </c>
      <c r="C7">
        <v>-27963.912027339931</v>
      </c>
      <c r="E7" s="1">
        <v>304</v>
      </c>
      <c r="F7" s="10">
        <v>394.20547954282512</v>
      </c>
      <c r="G7" s="10">
        <v>-3867.1557543151148</v>
      </c>
      <c r="H7">
        <v>96</v>
      </c>
    </row>
    <row r="8" spans="1:14" x14ac:dyDescent="0.3">
      <c r="A8">
        <v>32</v>
      </c>
      <c r="B8">
        <v>5658.7533661034258</v>
      </c>
      <c r="C8">
        <v>-55512.370521474608</v>
      </c>
      <c r="E8" s="1">
        <v>305</v>
      </c>
      <c r="F8" s="10">
        <v>837.04645738190607</v>
      </c>
      <c r="G8" s="10">
        <v>-8211.4257469164986</v>
      </c>
      <c r="H8">
        <v>8</v>
      </c>
    </row>
    <row r="9" spans="1:14" x14ac:dyDescent="0.3">
      <c r="A9">
        <v>33</v>
      </c>
      <c r="B9">
        <v>5016.8869477840035</v>
      </c>
      <c r="C9">
        <v>-49215.66095776108</v>
      </c>
      <c r="E9" s="1">
        <v>306</v>
      </c>
      <c r="F9" s="10">
        <v>1408.1904573819063</v>
      </c>
      <c r="G9" s="10">
        <v>-13814.348386916501</v>
      </c>
      <c r="H9">
        <v>56</v>
      </c>
    </row>
    <row r="10" spans="1:14" x14ac:dyDescent="0.3">
      <c r="A10">
        <v>34</v>
      </c>
      <c r="B10">
        <v>6994.1306272047577</v>
      </c>
      <c r="C10">
        <v>-68612.421452878683</v>
      </c>
      <c r="E10" s="1">
        <v>307</v>
      </c>
      <c r="F10" s="10">
        <v>1562.0994795428253</v>
      </c>
      <c r="G10" s="10">
        <v>-15324.195894315117</v>
      </c>
      <c r="H10">
        <v>95</v>
      </c>
    </row>
    <row r="11" spans="1:14" x14ac:dyDescent="0.3">
      <c r="A11">
        <v>35</v>
      </c>
      <c r="B11">
        <v>3821.6874102236966</v>
      </c>
      <c r="C11">
        <v>-37490.753494294462</v>
      </c>
      <c r="E11" s="1">
        <v>308</v>
      </c>
      <c r="F11" s="10">
        <v>1131.7600000000002</v>
      </c>
      <c r="G11" s="10">
        <v>-11102.565600000004</v>
      </c>
      <c r="H11">
        <v>9</v>
      </c>
      <c r="J11" s="1"/>
    </row>
    <row r="12" spans="1:14" x14ac:dyDescent="0.3">
      <c r="A12">
        <v>41</v>
      </c>
      <c r="B12">
        <v>3896.4891210999599</v>
      </c>
      <c r="C12">
        <v>-38224.558277990611</v>
      </c>
      <c r="E12" s="1">
        <v>309</v>
      </c>
      <c r="F12" s="10">
        <v>1167.8940000000002</v>
      </c>
      <c r="G12" s="10">
        <v>-11457.040140000003</v>
      </c>
      <c r="H12">
        <v>9</v>
      </c>
    </row>
    <row r="13" spans="1:14" x14ac:dyDescent="0.3">
      <c r="A13">
        <v>46</v>
      </c>
      <c r="B13">
        <v>6994.1306272047577</v>
      </c>
      <c r="C13">
        <v>-68612.421452878683</v>
      </c>
      <c r="E13" s="1"/>
      <c r="F13" s="10"/>
      <c r="G13" s="10"/>
      <c r="N13" s="10"/>
    </row>
    <row r="14" spans="1:14" x14ac:dyDescent="0.3">
      <c r="A14">
        <v>47</v>
      </c>
      <c r="B14">
        <v>5016.8869477840035</v>
      </c>
      <c r="C14">
        <v>-49215.66095776108</v>
      </c>
      <c r="E14" s="1" t="s">
        <v>63</v>
      </c>
      <c r="F14" s="10"/>
      <c r="G14" s="10"/>
    </row>
    <row r="15" spans="1:14" x14ac:dyDescent="0.3">
      <c r="A15">
        <v>48</v>
      </c>
      <c r="B15">
        <v>5658.7533661034258</v>
      </c>
      <c r="C15">
        <v>-55512.370521474608</v>
      </c>
      <c r="E15" s="1"/>
      <c r="F15" s="10"/>
      <c r="G15" s="10"/>
    </row>
    <row r="16" spans="1:14" x14ac:dyDescent="0.3">
      <c r="A16">
        <v>53</v>
      </c>
      <c r="B16">
        <v>3244.7571642869566</v>
      </c>
      <c r="C16">
        <v>-31831.067781655045</v>
      </c>
      <c r="E16" s="1"/>
      <c r="F16" s="10"/>
      <c r="G16" s="10"/>
    </row>
    <row r="17" spans="1:10" x14ac:dyDescent="0.3">
      <c r="A17">
        <v>56</v>
      </c>
      <c r="B17">
        <v>1684.6209147638124</v>
      </c>
      <c r="C17">
        <v>-16526.131173833001</v>
      </c>
      <c r="E17" s="1"/>
      <c r="F17" s="10"/>
      <c r="G17" s="10"/>
    </row>
    <row r="18" spans="1:10" x14ac:dyDescent="0.3">
      <c r="A18">
        <v>62</v>
      </c>
      <c r="B18">
        <v>3896.4891210999599</v>
      </c>
      <c r="C18">
        <v>-38224.558277990611</v>
      </c>
      <c r="E18" s="1"/>
      <c r="F18" s="10"/>
      <c r="G18" s="10"/>
    </row>
    <row r="19" spans="1:10" x14ac:dyDescent="0.3">
      <c r="A19">
        <v>63</v>
      </c>
      <c r="B19">
        <v>3896.4891210999599</v>
      </c>
      <c r="C19">
        <v>-38224.558277990611</v>
      </c>
      <c r="E19" s="1"/>
      <c r="F19" s="10"/>
      <c r="G19" s="10"/>
      <c r="J19" s="1"/>
    </row>
    <row r="20" spans="1:10" x14ac:dyDescent="0.3">
      <c r="A20">
        <v>73</v>
      </c>
      <c r="B20">
        <v>370.01597392461127</v>
      </c>
      <c r="C20">
        <v>-3629.856704200437</v>
      </c>
      <c r="E20" s="1"/>
      <c r="F20" s="10"/>
      <c r="G20" s="10"/>
    </row>
    <row r="21" spans="1:10" x14ac:dyDescent="0.3">
      <c r="A21">
        <v>74</v>
      </c>
      <c r="B21">
        <v>3814.3096353004835</v>
      </c>
      <c r="C21">
        <v>-37418.377522297742</v>
      </c>
      <c r="E21" s="1"/>
      <c r="F21" s="10"/>
      <c r="G21" s="10"/>
    </row>
    <row r="22" spans="1:10" x14ac:dyDescent="0.3">
      <c r="A22">
        <v>75</v>
      </c>
      <c r="B22">
        <v>3814.3096353004835</v>
      </c>
      <c r="C22">
        <v>-37418.377522297742</v>
      </c>
      <c r="E22" s="1"/>
      <c r="F22" s="10"/>
      <c r="G22" s="10"/>
    </row>
    <row r="23" spans="1:10" x14ac:dyDescent="0.3">
      <c r="A23">
        <v>89</v>
      </c>
      <c r="B23">
        <v>3821.6874102236966</v>
      </c>
      <c r="C23">
        <v>-37490.753494294462</v>
      </c>
      <c r="E23" s="1"/>
      <c r="F23" s="10"/>
      <c r="G23" s="10"/>
    </row>
    <row r="24" spans="1:10" x14ac:dyDescent="0.3">
      <c r="A24">
        <v>94</v>
      </c>
      <c r="B24">
        <v>3896.4891210999599</v>
      </c>
      <c r="C24">
        <v>-38224.558277990611</v>
      </c>
      <c r="E24" s="1"/>
      <c r="F24" s="10"/>
      <c r="G24" s="10"/>
    </row>
    <row r="25" spans="1:10" x14ac:dyDescent="0.3">
      <c r="A25">
        <v>96</v>
      </c>
      <c r="B25">
        <v>3244.7571642869566</v>
      </c>
      <c r="C25">
        <v>-31831.067781655045</v>
      </c>
    </row>
    <row r="26" spans="1:10" x14ac:dyDescent="0.3">
      <c r="A26">
        <v>101</v>
      </c>
      <c r="B26">
        <v>966.76597392461122</v>
      </c>
      <c r="C26">
        <v>-9483.9742042004364</v>
      </c>
    </row>
    <row r="27" spans="1:10" x14ac:dyDescent="0.3">
      <c r="D27" t="s">
        <v>46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781ECA-859E-46EF-B084-891B5AABF0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</vt:i4>
      </vt:variant>
    </vt:vector>
  </HeadingPairs>
  <TitlesOfParts>
    <vt:vector size="19" baseType="lpstr">
      <vt:lpstr>Material properties</vt:lpstr>
      <vt:lpstr>Pier geometry_1</vt:lpstr>
      <vt:lpstr>Pier geometry_2</vt:lpstr>
      <vt:lpstr>Normal loads_1</vt:lpstr>
      <vt:lpstr>Normal loads_2</vt:lpstr>
      <vt:lpstr>Max_shearforce_1</vt:lpstr>
      <vt:lpstr>Max_shearforce_2</vt:lpstr>
      <vt:lpstr>Pushover Curve_1</vt:lpstr>
      <vt:lpstr>Pushover Curve_2</vt:lpstr>
      <vt:lpstr>L_Floor</vt:lpstr>
      <vt:lpstr>L_Roof</vt:lpstr>
      <vt:lpstr>L_Filling material</vt:lpstr>
      <vt:lpstr>'Material properties'!Druckbereich</vt:lpstr>
      <vt:lpstr>Max_shearforce_1!Druckbereich</vt:lpstr>
      <vt:lpstr>Max_shearforce_2!Druckbereich</vt:lpstr>
      <vt:lpstr>'Normal loads_1'!Druckbereich</vt:lpstr>
      <vt:lpstr>'Normal loads_2'!Druckbereich</vt:lpstr>
      <vt:lpstr>'Pier geometry_1'!Druckbereich</vt:lpstr>
      <vt:lpstr>'Pier geometry_2'!Druckbereich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Aline Bönzli</dc:creator>
  <cp:lastModifiedBy>Aline Bönzli</cp:lastModifiedBy>
  <cp:lastPrinted>2024-01-17T16:04:50Z</cp:lastPrinted>
  <dcterms:created xsi:type="dcterms:W3CDTF">2015-06-05T18:19:34Z</dcterms:created>
  <dcterms:modified xsi:type="dcterms:W3CDTF">2024-01-17T16:04:51Z</dcterms:modified>
</cp:coreProperties>
</file>